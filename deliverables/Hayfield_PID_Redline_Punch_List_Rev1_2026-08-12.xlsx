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unch List (All)" sheetId="2" state="visible" r:id="rId4"/>
    <sheet name="Piping" sheetId="3" state="visible" r:id="rId5"/>
    <sheet name="Mechanical" sheetId="4" state="visible" r:id="rId6"/>
    <sheet name="I&amp;E" sheetId="5" state="visible" r:id="rId7"/>
    <sheet name="Engineering" sheetId="6" state="visible" r:id="rId8"/>
    <sheet name="Vendor" sheetId="7" state="visible" r:id="rId9"/>
    <sheet name="BOM - Open Items" sheetId="8" state="visible" r:id="rId10"/>
    <sheet name="Engineering Questions" sheetId="9" state="visible" r:id="rId11"/>
    <sheet name="Procurement" sheetId="10" state="visible" r:id="rId12"/>
    <sheet name="Disposition (Rev 0 closed)" sheetId="11" state="visible" r:id="rId13"/>
  </sheets>
  <definedNames>
    <definedName function="false" hidden="true" localSheetId="7" name="_xlnm._FilterDatabase" vbProcedure="false">'BOM - Open Items'!$A$1:$K$39</definedName>
    <definedName function="false" hidden="true" localSheetId="10" name="_xlnm._FilterDatabase" vbProcedure="false">'Disposition (Rev 0 closed)'!$A$1:$E$296</definedName>
    <definedName function="false" hidden="true" localSheetId="5" name="_xlnm._FilterDatabase" vbProcedure="false">Engineering!$A$1:$L$24</definedName>
    <definedName function="false" hidden="true" localSheetId="4" name="_xlnm._FilterDatabase" vbProcedure="false">'I&amp;E'!$A$1:$L$24</definedName>
    <definedName function="false" hidden="true" localSheetId="3" name="_xlnm._FilterDatabase" vbProcedure="false">Mechanical!$A$1:$L$2</definedName>
    <definedName function="false" hidden="true" localSheetId="2" name="_xlnm._FilterDatabase" vbProcedure="false">Piping!$A$1:$L$90</definedName>
    <definedName function="false" hidden="true" localSheetId="1" name="_xlnm._FilterDatabase" vbProcedure="false">'Punch List (All)'!$A$1:$I$138</definedName>
    <definedName function="false" hidden="true" localSheetId="6" name="_xlnm._FilterDatabase" vbProcedure="false">Vendor!$A$1:$L$2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<sst xmlns="http://schemas.openxmlformats.org/spreadsheetml/2006/main" count="4470" uniqueCount="1370">
  <si>
    <t xml:space="preserve">Hayfield Ridge Amine Facility — P&amp;ID Redline Punch List &amp; BOM Review — REV 1 (Corrected)</t>
  </si>
  <si>
    <t xml:space="preserve">Rev 1 issued 2026-08-12, corrected against the current authoritative redline set. Rev 0 (2026-08-09) had 430 items; item keys carry over.</t>
  </si>
  <si>
    <t xml:space="preserve">P&amp;IDs re-reviewed</t>
  </si>
  <si>
    <t xml:space="preserve">Open punch items</t>
  </si>
  <si>
    <t xml:space="preserve">Critical</t>
  </si>
  <si>
    <t xml:space="preserve">High</t>
  </si>
  <si>
    <t xml:space="preserve">Medium</t>
  </si>
  <si>
    <t xml:space="preserve">Low</t>
  </si>
  <si>
    <t xml:space="preserve">Closed/merged from Rev 0</t>
  </si>
  <si>
    <t xml:space="preserve">BOM line items</t>
  </si>
  <si>
    <t xml:space="preserve">Engineering questions open</t>
  </si>
  <si>
    <t xml:space="preserve">Items signed off</t>
  </si>
  <si>
    <t xml:space="preserve">Items remaining</t>
  </si>
  <si>
    <t xml:space="preserve">Items by discipline</t>
  </si>
  <si>
    <t xml:space="preserve">Items</t>
  </si>
  <si>
    <t xml:space="preserve">Closed</t>
  </si>
  <si>
    <t xml:space="preserve">Piping</t>
  </si>
  <si>
    <t xml:space="preserve">Mechanical</t>
  </si>
  <si>
    <t xml:space="preserve">I&amp;E</t>
  </si>
  <si>
    <t xml:space="preserve">Engineering</t>
  </si>
  <si>
    <t xml:space="preserve">Vendor</t>
  </si>
  <si>
    <t xml:space="preserve">How to use</t>
  </si>
  <si>
    <t xml:space="preserve">• REV 1 supersedes the 2026-08-09 workbook: 292 Rev 0 items closed (marks no longer on the current redline set), 3 duplicates merged, 2 new items added (02003-08, 02004-13). Full trace on the Disposition sheet.</t>
  </si>
  <si>
    <t xml:space="preserve">• SAFETY-flagged dispositions (backwards check valve, relief-routing question, all missing-PSV marks, spectacle blinds) need field confirmation at PSSR before being treated as complete — filter the Disposition sheet on "SAFETY".</t>
  </si>
  <si>
    <t xml:space="preserve">• Sign off on the discipline tabs (yellow columns; example format: Closed / J. Smith / 2026-08-15); Summary counts update automatically.</t>
  </si>
  <si>
    <t xml:space="preserve">• Priority: CRITICAL = before pressure test/commissioning/startup/safety · HIGH = before mechanical completion · MED = before turnover · LOW = documentation.</t>
  </si>
  <si>
    <t xml:space="preserve">• BOM: "Verify in Piping Material Specification" (V-PMS) = drawing does not state rating/material; order to the governing line class. Qty "±" requires field count.</t>
  </si>
  <si>
    <t xml:space="preserve">QC verification record (2026-08-12)</t>
  </si>
  <si>
    <t xml:space="preserve">• Battery 1 — verdict reconciliation: independent per-page verdict files re-parsed; 430/430 covered (138 KEEP / 292 DROP / 0 UNSURE), zero conflicts, zero discrepancies vs this workbook; 138 − 3 merged + 2 new = 137.</t>
  </si>
  <si>
    <t xml:space="preserve">• Battery 2 — internals: master tab matches the issued report field-for-field (137 rows); discipline tabs union to 137, no duplicates, critical-first; Disposition = 295 rows (16 SAFETY, 3 MERGED), no overlap with open items; BOM/question refs all resolve to open items; repo copies SHA-256 identical.</t>
  </si>
  <si>
    <t xml:space="preserve">• Battery 3 — physical evidence: red/pink cluster scan of all 40 current-set sheets reconciles with the open list on every page (explained variances: 04001 multi-instance rows, 01001-33 pencil mark, 08005 adjacent-mark merge).</t>
  </si>
  <si>
    <t xml:space="preserve">• Closure basis: mark absence only — physical completion of closed items is not certified; the 16 SAFETY-tagged dispositions require PSSR walkdown confirmation.</t>
  </si>
  <si>
    <t xml:space="preserve">Item No</t>
  </si>
  <si>
    <t xml:space="preserve">P&amp;ID</t>
  </si>
  <si>
    <t xml:space="preserve">Rev</t>
  </si>
  <si>
    <t xml:space="preserve">Sheet Title</t>
  </si>
  <si>
    <t xml:space="preserve">Line / Equipment</t>
  </si>
  <si>
    <t xml:space="preserve">Tag</t>
  </si>
  <si>
    <t xml:space="preserve">Description &amp; Action Required</t>
  </si>
  <si>
    <t xml:space="preserve">Discipline</t>
  </si>
  <si>
    <t xml:space="preserve">Priority</t>
  </si>
  <si>
    <t xml:space="preserve">01001-12</t>
  </si>
  <si>
    <t xml:space="preserve">HAY-PID-01001</t>
  </si>
  <si>
    <t xml:space="preserve">G</t>
  </si>
  <si>
    <t xml:space="preserve">Slug Catcher (X-11001 / X-12001)</t>
  </si>
  <si>
    <t xml:space="preserve">Inlet PSV vent</t>
  </si>
  <si>
    <t xml:space="preserve">—</t>
  </si>
  <si>
    <t xml:space="preserve">Red-drawn ½" valve w/ cap labeled “½"” on vent tailpipe below inlet PSV — install.</t>
  </si>
  <si>
    <t xml:space="preserve">HIGH</t>
  </si>
  <si>
    <t xml:space="preserve">01001-13</t>
  </si>
  <si>
    <t xml:space="preserve">16"-GH-0001-F2AS</t>
  </si>
  <si>
    <t xml:space="preserve">Red-drawn small-bore valve + cap on stub near 16"x10" control valve cloud — install.</t>
  </si>
  <si>
    <t xml:space="preserve">01001-16</t>
  </si>
  <si>
    <t xml:space="preserve">16"-GH-0003-F2AS</t>
  </si>
  <si>
    <t xml:space="preserve">Red-drawn valve + blind flange on stub at elbow — install.</t>
  </si>
  <si>
    <t xml:space="preserve">01001-17</t>
  </si>
  <si>
    <t xml:space="preserve">16"-GH-0006-F2AS</t>
  </si>
  <si>
    <t xml:space="preserve">Red-drawn vertical valve + cap teed up off line — install.</t>
  </si>
  <si>
    <t xml:space="preserve">01001-19</t>
  </si>
  <si>
    <t xml:space="preserve">X-11001 level bridle</t>
  </si>
  <si>
    <t xml:space="preserve">LIT-1001</t>
  </si>
  <si>
    <t xml:space="preserve">“4x2 / Remove” + strike on ½" valve between LIT-1001 and control override — remove valve; verify 4"x2" reducer requirement.</t>
  </si>
  <si>
    <t xml:space="preserve">01001-20</t>
  </si>
  <si>
    <t xml:space="preserve">X-12001 level bridle</t>
  </si>
  <si>
    <t xml:space="preserve">LIT-1002</t>
  </si>
  <si>
    <t xml:space="preserve">Same markup as 01001-19 at X-12001 — remove ½" valve; verify 4"x2" reducer.</t>
  </si>
  <si>
    <t xml:space="preserve">01001-21</t>
  </si>
  <si>
    <t xml:space="preserve">X-11001 bridle</t>
  </si>
  <si>
    <t xml:space="preserve">LS-1001</t>
  </si>
  <si>
    <t xml:space="preserve">Red “2"” (twice) at bridle isolation valves — verify/upsize isolation valves to 2".</t>
  </si>
  <si>
    <t xml:space="preserve">MED</t>
  </si>
  <si>
    <t xml:space="preserve">01001-22</t>
  </si>
  <si>
    <t xml:space="preserve">X-12001 bridle</t>
  </si>
  <si>
    <t xml:space="preserve">LS-1002</t>
  </si>
  <si>
    <t xml:space="preserve">Red “2"” (twice) — same verification at X-12001 bridle.</t>
  </si>
  <si>
    <t xml:space="preserve">01001-23</t>
  </si>
  <si>
    <t xml:space="preserve">4"-LH-0002-F2AS-1½"H-ET</t>
  </si>
  <si>
    <t xml:space="preserve">X-11001</t>
  </si>
  <si>
    <t xml:space="preserve">Red-drawn drain valve + plug on stub — install.</t>
  </si>
  <si>
    <t xml:space="preserve">01001-24</t>
  </si>
  <si>
    <t xml:space="preserve">4"-LH-0005-F2AS-1½"H-ET</t>
  </si>
  <si>
    <t xml:space="preserve">X-12001</t>
  </si>
  <si>
    <t xml:space="preserve">01001-33</t>
  </si>
  <si>
    <t xml:space="preserve">12"-GH-0010-F2AS</t>
  </si>
  <si>
    <t xml:space="preserve">PT-1001A</t>
  </si>
  <si>
    <t xml:space="preserve">Pencil note “P-T 1001A” with curved leader re-tapping PT-1001A onto the 12" line — relocate tap. (Red cloud/“Wire” from earlier markup removed; graphite mark remains on current set.)</t>
  </si>
  <si>
    <t xml:space="preserve">01001-37</t>
  </si>
  <si>
    <t xml:space="preserve">3"-LH-0011-F2AS-1½"H-ET</t>
  </si>
  <si>
    <t xml:space="preserve">Red “2"-LH-0009-F2AS-1H-ET” added above unlabeled line; flag corrected to “Coalescing Filter / HAY-PID-02101”; “Δ 3x2” at branch — correct line tags on drawing; verify 3"x2" reducer at branch.</t>
  </si>
  <si>
    <t xml:space="preserve">01001-38</t>
  </si>
  <si>
    <t xml:space="preserve">2"-DR-7003-F2AS</t>
  </si>
  <si>
    <t xml:space="preserve">Red-drawn new line + off-page flag to Liquid Blowcase (HAY-PID-07004) — add line to drawing; verify field tie-in (matches 07004 sheet markup).</t>
  </si>
  <si>
    <t xml:space="preserve">01003-07</t>
  </si>
  <si>
    <t xml:space="preserve">HAY-PID-01003</t>
  </si>
  <si>
    <t xml:space="preserve">E</t>
  </si>
  <si>
    <t xml:space="preserve">Gas Scrubber (V-21001 / V-22001)</t>
  </si>
  <si>
    <t xml:space="preserve">2"-GH-0027-F2AS / 10"-GH-0026-F2AS</t>
  </si>
  <si>
    <t xml:space="preserve">Pink/red triangle on 1" vent valve at junction (to Coalescing Filter) — verify/install 1" valve.</t>
  </si>
  <si>
    <t xml:space="preserve">01003-09</t>
  </si>
  <si>
    <t xml:space="preserve">V-21001 bridle</t>
  </si>
  <si>
    <t xml:space="preserve">LIT-1003 / LSH-1003</t>
  </si>
  <si>
    <t xml:space="preserve">“Remove” + strike — remove ½" valve/plug between instruments.</t>
  </si>
  <si>
    <t xml:space="preserve">01003-10</t>
  </si>
  <si>
    <t xml:space="preserve">Red “3"” (twice) at bridle isolation valves — verify/upsize to 3".</t>
  </si>
  <si>
    <t xml:space="preserve">01003-11</t>
  </si>
  <si>
    <t xml:space="preserve">V-22001 bridle</t>
  </si>
  <si>
    <t xml:space="preserve">LIT-1004</t>
  </si>
  <si>
    <t xml:space="preserve">“Remove” + strike — remove ½" valve at V-22001 bridle.</t>
  </si>
  <si>
    <t xml:space="preserve">01003-12</t>
  </si>
  <si>
    <t xml:space="preserve">Red “3"” (twice) — verify/upsize bridle isolation valves to 3".</t>
  </si>
  <si>
    <t xml:space="preserve">01003-15</t>
  </si>
  <si>
    <t xml:space="preserve">2"-LH-0010-F2AS boot drain</t>
  </si>
  <si>
    <t xml:space="preserve">Red-drawn ½" valve + plug teed off 2" boot-drain stub — install.</t>
  </si>
  <si>
    <t xml:space="preserve">01003-23</t>
  </si>
  <si>
    <t xml:space="preserve">3"-LH-0011-F2AS-1"H-ET</t>
  </si>
  <si>
    <t xml:space="preserve">Red “3” size prefix added; flag sheet number struck, “02101” written — correct line size &amp; continuation sheet on drawing.</t>
  </si>
  <si>
    <t xml:space="preserve">LOW</t>
  </si>
  <si>
    <t xml:space="preserve">02001-01</t>
  </si>
  <si>
    <t xml:space="preserve">HAY-PID-02001</t>
  </si>
  <si>
    <t xml:space="preserve">F</t>
  </si>
  <si>
    <t xml:space="preserve">Inlet Coalescing Filter S-1100 (400 GPM Amine Plant)</t>
  </si>
  <si>
    <t xml:space="preserve">10"-GH-0028-F2AS</t>
  </si>
  <si>
    <t xml:space="preserve">Red sketch retained: two tap valves w/ bleeds flanking an orifice-flange pair on the 10" inlet — install per sketch. (Earlier “RO + FIT ?” question text removed on current set — confirm final metering disposition, Q2.)</t>
  </si>
  <si>
    <t xml:space="preserve">02001-07</t>
  </si>
  <si>
    <t xml:space="preserve">2"-C-0201-F2AS-1.5"H-ET</t>
  </si>
  <si>
    <t xml:space="preserve">LCV-1100B</t>
  </si>
  <si>
    <t xml:space="preserve">“Shoes” — install two pipe shoes on 2" condensate lines at station.</t>
  </si>
  <si>
    <t xml:space="preserve">02001-13</t>
  </si>
  <si>
    <t xml:space="preserve">Inlet riser u/s N1</t>
  </si>
  <si>
    <t xml:space="preserve">Red “½"” + arrowhead at coupling — install ½" valve/plug at open coupling.</t>
  </si>
  <si>
    <t xml:space="preserve">02001-14</t>
  </si>
  <si>
    <t xml:space="preserve">2"-LH-0009-F2AS</t>
  </si>
  <si>
    <t xml:space="preserve">Red “2"-LH-0009-F2AS / P&amp;ID-01003” + tie of 2"-C-0201 drop into gas outlet header — update drawing; verify field tie-in. Merged: covers former 01003-22 (same continuation marked on HAY-PID-01003).</t>
  </si>
  <si>
    <t xml:space="preserve">02001-16</t>
  </si>
  <si>
    <t xml:space="preserve">Outlet header flag</t>
  </si>
  <si>
    <t xml:space="preserve">Sheet number struck, “01001” written — correct continuation flag.</t>
  </si>
  <si>
    <t xml:space="preserve">02002-08</t>
  </si>
  <si>
    <t xml:space="preserve">HAY-PID-02002</t>
  </si>
  <si>
    <t xml:space="preserve">Amine Contactor T-1 (400 GPM Amine Plant)</t>
  </si>
  <si>
    <t xml:space="preserve">Lower head, near N9</t>
  </si>
  <si>
    <t xml:space="preserve">“Remove” + X — remove 2" capped valve/stub.</t>
  </si>
  <si>
    <t xml:space="preserve">02003-03</t>
  </si>
  <si>
    <t xml:space="preserve">HAY-PID-02003</t>
  </si>
  <si>
    <t xml:space="preserve">Outlet Scrubber V-1 (400 GPM Amine Plant)</t>
  </si>
  <si>
    <t xml:space="preserve">V-1 nozzle N3 (2")</t>
  </si>
  <si>
    <t xml:space="preserve">PI V-1</t>
  </si>
  <si>
    <t xml:space="preserve">“Remove” + X — remove small gauge/bleed valve at N3 between PI isolation and vessel.</t>
  </si>
  <si>
    <t xml:space="preserve">02003-08</t>
  </si>
  <si>
    <t xml:space="preserve">LV V-1 bypass loop</t>
  </si>
  <si>
    <t xml:space="preserve">Red-drawn small valve + solid plug immediately d/s of the control valve (before the downstream 1" CB203) — install bleed/drain valve + plug. NEW mark on current set.</t>
  </si>
  <si>
    <t xml:space="preserve">02004-01</t>
  </si>
  <si>
    <t xml:space="preserve">HAY-PID-02004</t>
  </si>
  <si>
    <t xml:space="preserve">Amine Flash Tank V-2 (400 GPM Amine Plant)</t>
  </si>
  <si>
    <t xml:space="preserve">8"-RA-0010-F2AS-SR</t>
  </si>
  <si>
    <t xml:space="preserve">Red-drawn ½" valve + cap labeled “½"” on top of rich amine run — install high-point vent.</t>
  </si>
  <si>
    <t xml:space="preserve">02004-05</t>
  </si>
  <si>
    <t xml:space="preserve">V-2 nozzle M4 (4")</t>
  </si>
  <si>
    <t xml:space="preserve">Small red check at flange pair (KMTD/MPLX break) — field verification mark; confirm intent/torque status.</t>
  </si>
  <si>
    <t xml:space="preserve">02004-06</t>
  </si>
  <si>
    <t xml:space="preserve">LG V-2A bridle, N8</t>
  </si>
  <si>
    <t xml:space="preserve">2" GVTONT CSO</t>
  </si>
  <si>
    <t xml:space="preserve">Red “CB10” — change upper bridle valve spec GVTONT → CB10 (retain CSO).</t>
  </si>
  <si>
    <t xml:space="preserve">02004-07</t>
  </si>
  <si>
    <t xml:space="preserve">LG V-2A bridle, N9</t>
  </si>
  <si>
    <t xml:space="preserve">Red “CB10” — change lower bridle valve to CB10.</t>
  </si>
  <si>
    <t xml:space="preserve">02004-10</t>
  </si>
  <si>
    <t xml:space="preserve">1"-DR-0003-A2AS</t>
  </si>
  <si>
    <t xml:space="preserve">“Remove By MPLX” + X — remove flanged drain valve adjacent saddle.</t>
  </si>
  <si>
    <t xml:space="preserve">02004-13</t>
  </si>
  <si>
    <t xml:space="preserve">PCV V-2B bypass drop leg</t>
  </si>
  <si>
    <t xml:space="preserve">Red-drawn valve + solid plug at the low-point corner of the bypass leg — install low-point drain valve + plug. NEW mark on current set.</t>
  </si>
  <si>
    <t xml:space="preserve">02005-07</t>
  </si>
  <si>
    <t xml:space="preserve">HAY-PID-02005</t>
  </si>
  <si>
    <t xml:space="preserve">Amine Filters F-1 / F-2 (400 GPM Amine Plant)</t>
  </si>
  <si>
    <t xml:space="preserve">F-1 meter run</t>
  </si>
  <si>
    <t xml:space="preserve">Red-drawn ¾" valve + plug below FE F-1 — install vent/bleed.</t>
  </si>
  <si>
    <t xml:space="preserve">02005-08</t>
  </si>
  <si>
    <t xml:space="preserve">6"-RA-0013-A2-1.5"H-SR</t>
  </si>
  <si>
    <t xml:space="preserve">Red-drawn ¾" valve + plug near F-1 outlet riser — install drain/vent.</t>
  </si>
  <si>
    <t xml:space="preserve">02005-10</t>
  </si>
  <si>
    <t xml:space="preserve">1"-V-0071-A1</t>
  </si>
  <si>
    <t xml:space="preserve">PSV F-2 tail</t>
  </si>
  <si>
    <t xml:space="preserve">“Doesn't Exist.” + X on printed 1" CSO valve — valve shown on drawing is not in field.</t>
  </si>
  <si>
    <t xml:space="preserve">CRITICAL</t>
  </si>
  <si>
    <t xml:space="preserve">02005-11</t>
  </si>
  <si>
    <t xml:space="preserve">“Needs to Be Added Inside Skid limits.” — install the missing 1" CSO valve + tailpipe work inside skid.</t>
  </si>
  <si>
    <t xml:space="preserve">02005-12</t>
  </si>
  <si>
    <t xml:space="preserve">6" outlet header</t>
  </si>
  <si>
    <t xml:space="preserve">Red-drawn valve + plug (size unmarked, ~¾") on header toward L/R exchanger — install low-point drain.</t>
  </si>
  <si>
    <t xml:space="preserve">02005-13</t>
  </si>
  <si>
    <t xml:space="preserve">2"-DR-0100-A1/A2</t>
  </si>
  <si>
    <t xml:space="preserve">Red continuation flag “2-DR-0100-A2 / HAY-PID-02016” at west end of drain header — correct drawing continuity on this sheet and HAY-PID-02006; verify field tie-in. Merged: covers former 02006-03 (same flag correction on the mate sheet).</t>
  </si>
  <si>
    <t xml:space="preserve">02005-14</t>
  </si>
  <si>
    <t xml:space="preserve">2"-DR-0100-A1 (east)</t>
  </si>
  <si>
    <t xml:space="preserve">Red emphasis chevrons on printed drain flag — verify/connect continuation to HAY-PID-02006.</t>
  </si>
  <si>
    <t xml:space="preserve">02006-01</t>
  </si>
  <si>
    <t xml:space="preserve">HAY-PID-02006</t>
  </si>
  <si>
    <t xml:space="preserve">L/R Exchanger E-1 (400 GPM Amine Plant)</t>
  </si>
  <si>
    <t xml:space="preserve">6"-LA-0022-A1</t>
  </si>
  <si>
    <t xml:space="preserve">TI/TW E-1D</t>
  </si>
  <si>
    <t xml:space="preserve">Red cloud + tag “E-1D” on unlabeled TI/TW bubble — install &amp; tag temperature indicator with thermowell on E-1 lean amine outlet.</t>
  </si>
  <si>
    <t xml:space="preserve">02006-02</t>
  </si>
  <si>
    <t xml:space="preserve">6" crossover branch</t>
  </si>
  <si>
    <t xml:space="preserve">Red-drawn valve + plug (no size) upstream of 6" block valve — install vent/drain bleed.</t>
  </si>
  <si>
    <t xml:space="preserve">02006-04</t>
  </si>
  <si>
    <t xml:space="preserve">Red emphasis on printed flag to HAY-PID-02007 — verify continuation/tie-in.</t>
  </si>
  <si>
    <t xml:space="preserve">02007-01</t>
  </si>
  <si>
    <t xml:space="preserve">HAY-PID-02007</t>
  </si>
  <si>
    <t xml:space="preserve">Amine Booster Pumps / Lean Solids Filter (P-1A/B, F-4)</t>
  </si>
  <si>
    <t xml:space="preserve">6"-LA-0018-A1-1.5"H</t>
  </si>
  <si>
    <t xml:space="preserve">P-1A discharge</t>
  </si>
  <si>
    <t xml:space="preserve">Red “½"” + drawn valve between check and block — install ½" valve (vent/gauge).</t>
  </si>
  <si>
    <t xml:space="preserve">02007-02</t>
  </si>
  <si>
    <t xml:space="preserve">6"-LA-0019-A1-1.5"H</t>
  </si>
  <si>
    <t xml:space="preserve">P-1B discharge</t>
  </si>
  <si>
    <t xml:space="preserve">Red “½"” + drawn valve — install ½" valve.</t>
  </si>
  <si>
    <t xml:space="preserve">02007-03</t>
  </si>
  <si>
    <t xml:space="preserve">1"-V-0076-A1</t>
  </si>
  <si>
    <t xml:space="preserve">1" C1203F LSD</t>
  </si>
  <si>
    <t xml:space="preserve">“Dosn't Exist.” [sic] + cloud — printed 1" shutdown valve not in field; reconcile install vs drawing revision. (Eng. Question Q13)</t>
  </si>
  <si>
    <t xml:space="preserve">02007-05</t>
  </si>
  <si>
    <t xml:space="preserve">6"-LA-0021-A1-1.5"H</t>
  </si>
  <si>
    <t xml:space="preserve">6" CV10</t>
  </si>
  <si>
    <t xml:space="preserve">“Dosn't Exist.” + cloud — printed 6" valve on lean amine outlet not in field; reconcile. (Eng. Question Q13)</t>
  </si>
  <si>
    <t xml:space="preserve">02007-06</t>
  </si>
  <si>
    <t xml:space="preserve">“Removed” + cloud + cut marks — drain header terminus piping removed in field; update drawing / confirm extent.</t>
  </si>
  <si>
    <t xml:space="preserve">02007-08</t>
  </si>
  <si>
    <t xml:space="preserve">Spare-filter bridges</t>
  </si>
  <si>
    <t xml:space="preserve">PDI F-4B / F-4C</t>
  </si>
  <si>
    <t xml:space="preserve">Red tick marks on both PDI balloons — verify gauges installed/functional.</t>
  </si>
  <si>
    <t xml:space="preserve">02008-04</t>
  </si>
  <si>
    <t xml:space="preserve">HAY-PID-02008</t>
  </si>
  <si>
    <t xml:space="preserve">Reflux Pumps P-2A/B (400 GPM Amine Plant)</t>
  </si>
  <si>
    <t xml:space="preserve">2"-RF-0035-A2-1.5"H-ET-SR</t>
  </si>
  <si>
    <t xml:space="preserve">LV T-2</t>
  </si>
  <si>
    <t xml:space="preserve">Red “¾” + drawn valve below line — install ¾" drain/bleed between block and check.</t>
  </si>
  <si>
    <t xml:space="preserve">02009-02</t>
  </si>
  <si>
    <t xml:space="preserve">HAY-PID-02009</t>
  </si>
  <si>
    <t xml:space="preserve">Amine Still / Reflux Accumulator T-2</t>
  </si>
  <si>
    <t xml:space="preserve">10"-LA-0017-A2-1.5"H</t>
  </si>
  <si>
    <t xml:space="preserve">Red “1"” ×3 + drawn valves — install two 1" high-point vents and one 1" drain on lean amine to reboiler.</t>
  </si>
  <si>
    <t xml:space="preserve">02009-05</t>
  </si>
  <si>
    <t xml:space="preserve">Nozzle C2 gauges</t>
  </si>
  <si>
    <t xml:space="preserve">PI T-2B, TI T-2B</t>
  </si>
  <si>
    <t xml:space="preserve">Red instrument range edits at nozzle C2: “0-100#” over PI T-2B and “50-300F” over TI T-2B — verify/replace gauges to marked ranges (current set reads 50-300F).</t>
  </si>
  <si>
    <t xml:space="preserve">02011-05</t>
  </si>
  <si>
    <t xml:space="preserve">HAY-PID-02011</t>
  </si>
  <si>
    <t xml:space="preserve">HP Amine Pumps P-3A/B (400 GPM Amine Plant)</t>
  </si>
  <si>
    <t xml:space="preserve">6"-LA-0025-G2</t>
  </si>
  <si>
    <t xml:space="preserve">PIT P-3A2</t>
  </si>
  <si>
    <t xml:space="preserve">Red bubble + two drawn root valves at new tap between CV90 and check — relocate PIT P-3A2 tap here; install two small-bore root valves.</t>
  </si>
  <si>
    <t xml:space="preserve">02011-08</t>
  </si>
  <si>
    <t xml:space="preserve">6"-LA-0024-G2</t>
  </si>
  <si>
    <t xml:space="preserve">PI/PIT P-3D</t>
  </si>
  <si>
    <t xml:space="preserve">Red cloud around PI/PIT P-3D + arc arrows to the new tap on 6"-LA-0024-G2 — relocate tap (mirror of 02011-05). (“Wire” call-out removed on current set — wiring scope cleared.)</t>
  </si>
  <si>
    <t xml:space="preserve">02011-14</t>
  </si>
  <si>
    <t xml:space="preserve">6"-LA-0025-F2</t>
  </si>
  <si>
    <t xml:space="preserve">FIT/FIC P-3</t>
  </si>
  <si>
    <t xml:space="preserve">“Missing” + pink highlight — install FIT P-3 dP transmitter, both impulse manifold valve sets, and tubing on common discharge meter.</t>
  </si>
  <si>
    <t xml:space="preserve">02011-16</t>
  </si>
  <si>
    <t xml:space="preserve">P-3A suction drop</t>
  </si>
  <si>
    <t xml:space="preserve">6" cone strainer</t>
  </si>
  <si>
    <t xml:space="preserve">Red doodle at temporary strainer — verify installed; remove after flushing per commissioning plan.</t>
  </si>
  <si>
    <t xml:space="preserve">02011-17</t>
  </si>
  <si>
    <t xml:space="preserve">P-3B suction drop</t>
  </si>
  <si>
    <t xml:space="preserve">Same verification at P-3B.</t>
  </si>
  <si>
    <t xml:space="preserve">02012-01</t>
  </si>
  <si>
    <t xml:space="preserve">HAY-PID-02012</t>
  </si>
  <si>
    <t xml:space="preserve">Reboiler Skid H-1 / E-2 (400 GPM Amine Plant)</t>
  </si>
  <si>
    <t xml:space="preserve">E-2 level bridles</t>
  </si>
  <si>
    <t xml:space="preserve">LG/LT E-2A, E-2B</t>
  </si>
  <si>
    <t xml:space="preserve">Large cloud: “Change all of Them to Gate Valves” — replace all bridle isolation valves (½", ¾" CB203; 2" CB10 CSO) with gate valves; count in field before ordering.</t>
  </si>
  <si>
    <t xml:space="preserve">02012-07</t>
  </si>
  <si>
    <t xml:space="preserve">24"-LA-0029-A2-1.5"H</t>
  </si>
  <si>
    <t xml:space="preserve">Red-drawn 1" stub/⌀ glyph on 24"-LA-0029-A2-1.5"H adjacent TE/TW E-2E — plug open 1" connection. (“Needs plug” text removed; drawn mark remains.)</t>
  </si>
  <si>
    <t xml:space="preserve">02012-10</t>
  </si>
  <si>
    <t xml:space="preserve">E-2 shell (S4–S1)</t>
  </si>
  <si>
    <t xml:space="preserve">Red-drawn 2" valve at shell connection — install (field addition).</t>
  </si>
  <si>
    <t xml:space="preserve">02012-11</t>
  </si>
  <si>
    <t xml:space="preserve">TCV E-2 station</t>
  </si>
  <si>
    <t xml:space="preserve">Red “6"” at four station valves — verify actual valve sizes vs drawing; revise drawing or valves. (Eng. Question Q9)</t>
  </si>
  <si>
    <t xml:space="preserve">02013-01</t>
  </si>
  <si>
    <t xml:space="preserve">HAY-PID-02013</t>
  </si>
  <si>
    <t xml:space="preserve">T.O. for 400 GPM Amine Train &amp; Dehy Train I (VCU-101)</t>
  </si>
  <si>
    <t xml:space="preserve">2"-GH-7004-A2</t>
  </si>
  <si>
    <t xml:space="preserve">Red-drawn 2" valve u/s of PCV-100 — install 2" fuel gas isolation valve.</t>
  </si>
  <si>
    <t xml:space="preserve">02013-02</t>
  </si>
  <si>
    <t xml:space="preserve">2"-FG-2220-A2</t>
  </si>
  <si>
    <t xml:space="preserve">FE/FIT-100</t>
  </si>
  <si>
    <t xml:space="preserve">Red-drawn orifice marks + “2"” flanking the FIT-100 tap on 2"-FG-2220-A2 — install FE-100 restriction orifice + FIT-100; terminate previously pulled wire. (Pink/“Missing… wire pulled” text removed; drawn marks remain.)</t>
  </si>
  <si>
    <t xml:space="preserve">02013-05</t>
  </si>
  <si>
    <t xml:space="preserve">14"-AG-0033-A2AS-SR</t>
  </si>
  <si>
    <t xml:space="preserve">Red-drawn high-point vent (valve + plug) before KOD-301 — install (likely 1"; verify size).</t>
  </si>
  <si>
    <t xml:space="preserve">02013-07</t>
  </si>
  <si>
    <t xml:space="preserve">KOD-301 top</t>
  </si>
  <si>
    <t xml:space="preserve">Red-drawn valve at PSV/inlet nozzle connection — install small-bore valve.</t>
  </si>
  <si>
    <t xml:space="preserve">02013-08</t>
  </si>
  <si>
    <t xml:space="preserve">KOD-301 drain</t>
  </si>
  <si>
    <t xml:space="preserve">Red-drawn 2" valve at drain termination d/s of flame arrestor — install.</t>
  </si>
  <si>
    <t xml:space="preserve">02014-03</t>
  </si>
  <si>
    <t xml:space="preserve">HAY-PID-02014</t>
  </si>
  <si>
    <t xml:space="preserve">BTEX for 55 MMSCFD Dehy Unit-I (V-7000A, HZZ-1100A, TK-1200A)</t>
  </si>
  <si>
    <t xml:space="preserve">D — system by-pass vent</t>
  </si>
  <si>
    <t xml:space="preserve">Cloud: “Missing / Not on ISOs / SKID LIMITS” — fabricate/install 2" NPT bypass-vent piping; add to ISOs. (Eng. Question Q6)</t>
  </si>
  <si>
    <t xml:space="preserve">02014-10</t>
  </si>
  <si>
    <t xml:space="preserve">2" NPT bypass-vent run</t>
  </si>
  <si>
    <t xml:space="preserve">“Missing” + cloud/pink — fabricate/install segment from D vent past HZZ-1100A to BTEX outlet drop near SP-1100A.</t>
  </si>
  <si>
    <t xml:space="preserve">02115-01</t>
  </si>
  <si>
    <t xml:space="preserve">HAY-PID-02115</t>
  </si>
  <si>
    <t xml:space="preserve">T.O. for 640 GPM Amine Train &amp; Dehy Train II (VCU-102)</t>
  </si>
  <si>
    <t xml:space="preserve">2"-GH-7005-A2</t>
  </si>
  <si>
    <t xml:space="preserve">Red-drawn 2" valve u/s of PCV-103 — install 2" fuel gas isolation valve.</t>
  </si>
  <si>
    <t xml:space="preserve">02115-02</t>
  </si>
  <si>
    <t xml:space="preserve">2"-FG-2222-A2</t>
  </si>
  <si>
    <t xml:space="preserve">FE/FIT-101</t>
  </si>
  <si>
    <t xml:space="preserve">Red-drawn orifice marks flanking FE/FIT-101 tap on 2"-FG-2222-A2 — install FE-101 orifice + FIT-101; terminate pulled wire. (Text removed; drawn marks remain.)</t>
  </si>
  <si>
    <t xml:space="preserve">02115-05</t>
  </si>
  <si>
    <t xml:space="preserve">14"-AG-0040-A2AS-SR</t>
  </si>
  <si>
    <t xml:space="preserve">Red-drawn high-point vent (valve + plug) before KOD-302 — install (verify size).</t>
  </si>
  <si>
    <t xml:space="preserve">02115-07</t>
  </si>
  <si>
    <t xml:space="preserve">KOD-302 14" inlet drop</t>
  </si>
  <si>
    <t xml:space="preserve">Red-drawn valve at inlet connection — install (size per connection; verify).</t>
  </si>
  <si>
    <t xml:space="preserve">02115-09</t>
  </si>
  <si>
    <t xml:space="preserve">KOD-302 2" drain</t>
  </si>
  <si>
    <t xml:space="preserve">Red-drawn valve + termination at open end — install 2" valve (+ flame arrestor per KOD-301 pattern).</t>
  </si>
  <si>
    <t xml:space="preserve">02015A-03</t>
  </si>
  <si>
    <t xml:space="preserve">HAY-PID-02015A</t>
  </si>
  <si>
    <t xml:space="preserve">Exhaust Stack / Hot Oil Heater H-27001A (Hot Oil Unit-I)</t>
  </si>
  <si>
    <t xml:space="preserve">Heater outlet detail</t>
  </si>
  <si>
    <t xml:space="preserve">PI-27002A</t>
  </si>
  <si>
    <t xml:space="preserve">Cloud: “Missing / Not on ISO’s” — outlet pressure-gauge assembly (0-160 psig, ½" NPT valve, siphon; shipped loose per Note 8, MPLX installs) missing. Merged: includes the ½" tap required on 8"-HM-187-C2-1.5"H (former 02015A-04).</t>
  </si>
  <si>
    <t xml:space="preserve">02015B-02</t>
  </si>
  <si>
    <t xml:space="preserve">HAY-PID-02015B</t>
  </si>
  <si>
    <t xml:space="preserve">Side Stream Filter &amp; Circulation Pumps (Hot Oil Unit-I)</t>
  </si>
  <si>
    <t xml:space="preserve">6"-40-TF-106 → filter</t>
  </si>
  <si>
    <t xml:space="preserve">SSI-30001A</t>
  </si>
  <si>
    <t xml:space="preserve">Red-drawn routing from the 1" branch (GL4SW3) to the SSI-30001A filter inlet — install side-stream supply per markup. (Size labels removed on current set — verify 1" in field.)</t>
  </si>
  <si>
    <t xml:space="preserve">02015B-03</t>
  </si>
  <si>
    <t xml:space="preserve">Filter hookup</t>
  </si>
  <si>
    <t xml:space="preserve">Red-drawn loop through filter inlet/outlet (1" 3000# SW nozzles) — re-route/complete filter piping per sketch.</t>
  </si>
  <si>
    <t xml:space="preserve">02015B-04</t>
  </si>
  <si>
    <t xml:space="preserve">SSI-300017 riser</t>
  </si>
  <si>
    <t xml:space="preserve">Red trace at header crossing — crossing only (no connection); as-built clarification.</t>
  </si>
  <si>
    <t xml:space="preserve">02015B-05</t>
  </si>
  <si>
    <t xml:space="preserve">6"-40-TF-110</t>
  </si>
  <si>
    <t xml:space="preserve">Red-drawn vertical drop tying into 6"-40-TF-110 — install side-stream return tie-in per markup. (Size label removed — verify 1" in field.)</t>
  </si>
  <si>
    <t xml:space="preserve">02015C-01</t>
  </si>
  <si>
    <t xml:space="preserve">HAY-PID-02015C</t>
  </si>
  <si>
    <t xml:space="preserve">Expansion Tank TK-45001A (Hot Oil Unit-I)</t>
  </si>
  <si>
    <t xml:space="preserve">¼"-GH-2001-A2</t>
  </si>
  <si>
    <t xml:space="preserve">PCV-2001</t>
  </si>
  <si>
    <t xml:space="preserve">Red hatch marks on ¼"-GH-2001-A2 at the PCV-2001 station inlet — blanket-gas regulator station (set 30 psig) still flagged not installed. (Earlier “¾" valve installed on adjacent 3" FG pipe” deviation note removed — reconcile with engineering, Q5.)</t>
  </si>
  <si>
    <t xml:space="preserve">02015C-02</t>
  </si>
  <si>
    <t xml:space="preserve">To nozzle C3</t>
  </si>
  <si>
    <t xml:space="preserve">Red hatch marks along the ¼" blanket-gas run to nozzle C3 — install ¼" tubing/branch, full run across HAY-PID-02015C and 02015D. Merged: covers former 02015D-01 (matching hatch on the blower sheet).</t>
  </si>
  <si>
    <t xml:space="preserve">02015C-03</t>
  </si>
  <si>
    <t xml:space="preserve">Nozzles C1, C3</t>
  </si>
  <si>
    <t xml:space="preserve">Red checks on both 150# RF flanges — complete/verify hookups (with -02).</t>
  </si>
  <si>
    <t xml:space="preserve">02015C-06</t>
  </si>
  <si>
    <t xml:space="preserve">Nozzle C7</t>
  </si>
  <si>
    <t xml:space="preserve">TP-E6</t>
  </si>
  <si>
    <t xml:space="preserve">Cloud: “Where to?” / “Don't Exist – Not on ISO's” — test point connection absent and unrouted; engineering to clarify. (Eng. Question Q4)</t>
  </si>
  <si>
    <t xml:space="preserve">02015C-07</t>
  </si>
  <si>
    <t xml:space="preserve">8"-HM-187-C2-1.5"H</t>
  </si>
  <si>
    <t xml:space="preserve">Cloud at the 8" gooseneck on 8"-HM-187-C2-1.5"H, text now “Doesn’t Exist – not on ISO’s” — install loop/seal assembly; add to ISOs (Q4).</t>
  </si>
  <si>
    <t xml:space="preserve">02015C-08</t>
  </si>
  <si>
    <t xml:space="preserve">8"-HM-180 / 8"-HM-187</t>
  </si>
  <si>
    <t xml:space="preserve">FCV-45001A</t>
  </si>
  <si>
    <t xml:space="preserve">Cloud + pink: “Doesn't Exist – Not on ISO's” / “Missing” — 8" control-valve station absent entirely; engineering to confirm requirement, then procure/install. (Eng. Question Q4)</t>
  </si>
  <si>
    <t xml:space="preserve">02015D-02</t>
  </si>
  <si>
    <t xml:space="preserve">HAY-PID-02015D</t>
  </si>
  <si>
    <t xml:space="preserve">Combustion Air Blower / Burner BRN-20001A (Hot Oil Unit-I)</t>
  </si>
  <si>
    <t xml:space="preserve">1½"-80-NG-204</t>
  </si>
  <si>
    <t xml:space="preserve">XV-20003A</t>
  </si>
  <si>
    <t xml:space="preserve">Pink highlight — burner main-gas vent valve assembly (1½" XV, FO orifice, vent gooseneck) missing; install (vent piping by MPLX, Note 2).</t>
  </si>
  <si>
    <t xml:space="preserve">02015D-03</t>
  </si>
  <si>
    <t xml:space="preserve">¾"-80-NG-205</t>
  </si>
  <si>
    <t xml:space="preserve">XV-20006A</t>
  </si>
  <si>
    <t xml:space="preserve">“Missing” (two-headed arrow, also to -02) — pilot-gas vent valve assembly (¾" XV w/ solenoid, FO orifice, gooseneck) missing; install.</t>
  </si>
  <si>
    <t xml:space="preserve">02016-03</t>
  </si>
  <si>
    <t xml:space="preserve">HAY-PID-02016</t>
  </si>
  <si>
    <t xml:space="preserve">D</t>
  </si>
  <si>
    <t xml:space="preserve">Catch Tank TK-2001 / TK-2002 (400 GPM Amine Plant)</t>
  </si>
  <si>
    <t xml:space="preserve">Drop to N4 (½")</t>
  </si>
  <si>
    <t xml:space="preserve">Red fitting stack “1x½” — install union/flange pair, valve, 1"x½" swage at N4.</t>
  </si>
  <si>
    <t xml:space="preserve">02016-13</t>
  </si>
  <si>
    <t xml:space="preserve">TK-2002 header drops</t>
  </si>
  <si>
    <t xml:space="preserve">Red routing clarifications (break squiggles at 1½"-PV-0002/0003-A2 × 1"-DA-0001-A2 / 1"-V-0094-A2 crossings) — verify as-built tie-in locations; update drawing.</t>
  </si>
  <si>
    <t xml:space="preserve">03001-03</t>
  </si>
  <si>
    <t xml:space="preserve">HAY-PID-03001</t>
  </si>
  <si>
    <t xml:space="preserve">Gas Absorber MAF-3200A (55 MMSCFD Dehy Train-I)</t>
  </si>
  <si>
    <t xml:space="preserve">PSV mount</t>
  </si>
  <si>
    <t xml:space="preserve">PSV-3200A</t>
  </si>
  <si>
    <t xml:space="preserve">Red “1½"” + drawn nozzle at vessel wall — verify PSV connection nozzle size 1½" vs printed 1"x1". (Eng. Question Q12)</t>
  </si>
  <si>
    <t xml:space="preserve">03001-05</t>
  </si>
  <si>
    <t xml:space="preserve">RO-3201A flanges</t>
  </si>
  <si>
    <t xml:space="preserve">“Bleed Rings” — install bleed ring(s) with bleed valves at orifice flanges.</t>
  </si>
  <si>
    <t xml:space="preserve">03001-10</t>
  </si>
  <si>
    <t xml:space="preserve">Nozzles E (1" liq outlet), D (1½"-RG-3001-F2)</t>
  </si>
  <si>
    <t xml:space="preserve">Red hash ticks at vendor termination points (Note 3: piping beyond termination not provided) — complete downstream tie-ins.</t>
  </si>
  <si>
    <t xml:space="preserve">03001-11</t>
  </si>
  <si>
    <t xml:space="preserve">Nozzles C (lean glycol), H (1"-GH-3012-F2)</t>
  </si>
  <si>
    <t xml:space="preserve">Red hash ticks at vendor termination points — complete downstream tie-ins.</t>
  </si>
  <si>
    <t xml:space="preserve">03001-12</t>
  </si>
  <si>
    <t xml:space="preserve">8"-GH-3004-F2</t>
  </si>
  <si>
    <t xml:space="preserve">Red-drawn 1" plugged valve assembly (stem, valve, flange bars, plug) — install 1" valved+plugged branch (vent/sample) on dry gas line.</t>
  </si>
  <si>
    <t xml:space="preserve">03002-02</t>
  </si>
  <si>
    <t xml:space="preserve">HAY-PID-03002</t>
  </si>
  <si>
    <t xml:space="preserve">Vertical Scrubber MBF-1240A (55 MMSCFD Dehy Train-I)</t>
  </si>
  <si>
    <t xml:space="preserve">8"-GH-3005-F2</t>
  </si>
  <si>
    <t xml:space="preserve">Red-drawn 1" valve on stub at elbow above nozzle B — install 1" high-point vent.</t>
  </si>
  <si>
    <t xml:space="preserve">03002-05</t>
  </si>
  <si>
    <t xml:space="preserve">FV-1240A manifold</t>
  </si>
  <si>
    <t xml:space="preserve">Red marks at two ½" bypass/vent valves — install ½" plugs/caps (or valves); confirm intent in field.</t>
  </si>
  <si>
    <t xml:space="preserve">03002-19</t>
  </si>
  <si>
    <t xml:space="preserve">16" riser / 2"-DA-3003-F2-1.5"H-ET</t>
  </si>
  <si>
    <t xml:space="preserve">“U/G” breaks + red trace to PCV-3001 — record underground transition; verify slop-header tie-in.</t>
  </si>
  <si>
    <t xml:space="preserve">03004-01</t>
  </si>
  <si>
    <t xml:space="preserve">HAY-PID-03004</t>
  </si>
  <si>
    <t xml:space="preserve">Glycol Region — Filters &amp; Pumps (55 MMSCFD Dehy Train-I)</t>
  </si>
  <si>
    <t xml:space="preserve">Flash-gas line → 1"-V-0046-A2</t>
  </si>
  <si>
    <t xml:space="preserve">1" H5S</t>
  </si>
  <si>
    <t xml:space="preserve">Cloud + “Missing Checkvalve” — install 1" H5S check valve on the flash-gas line to 1"-V-0046-A2.</t>
  </si>
  <si>
    <t xml:space="preserve">03004-06</t>
  </si>
  <si>
    <t xml:space="preserve">1½" A00-GR-04</t>
  </si>
  <si>
    <t xml:space="preserve">1½" W2ZU</t>
  </si>
  <si>
    <t xml:space="preserve">“valve in wrong spot” / “Has to move” — relocate valve from MAJ-1200A outlet nozzle to marked position on vertical branch.</t>
  </si>
  <si>
    <t xml:space="preserve">04001-05</t>
  </si>
  <si>
    <t xml:space="preserve">HAY-PID-04001</t>
  </si>
  <si>
    <t xml:space="preserve">Slop Tanks TK-41001…41004</t>
  </si>
  <si>
    <t xml:space="preserve">PVRV risers, C3 (×4)</t>
  </si>
  <si>
    <t xml:space="preserve">Enardo ES-660-HF</t>
  </si>
  <si>
    <t xml:space="preserve">“6X4” ×4 — install 6"x4" transition/reducer at each tank's PVRV riser.</t>
  </si>
  <si>
    <t xml:space="preserve">04001-06</t>
  </si>
  <si>
    <t xml:space="preserve">Tank bottoms (×4)</t>
  </si>
  <si>
    <t xml:space="preserve">Red-drawn 1" valve at each tank near manway — install four 1" drain/water-draw valves.</t>
  </si>
  <si>
    <t xml:space="preserve">04001-07</t>
  </si>
  <si>
    <t xml:space="preserve">C4 nozzles (×4)</t>
  </si>
  <si>
    <t xml:space="preserve">Red triangle at each 4" side nozzle — verify blinded; install 4" blind flanges if open.</t>
  </si>
  <si>
    <t xml:space="preserve">04001-08</t>
  </si>
  <si>
    <t xml:space="preserve">2"-DA-2101-A2-1.5"H-ET</t>
  </si>
  <si>
    <t xml:space="preserve">Red-drawn new 2" HT drain line + 2" valve + capped riser at containment (P&amp;ID ref blank) — install; engineering to assign tie-in/sheet ref.</t>
  </si>
  <si>
    <t xml:space="preserve">04001-09</t>
  </si>
  <si>
    <t xml:space="preserve">2"-DA-2[6]81-A2-1.5"H-ET [digits unclear]</t>
  </si>
  <si>
    <t xml:space="preserve">Second red-drawn 2" HT drain line + 2" valve, tie-in “HAY-P&amp;ID 02013” — install; verify line number with engineering.</t>
  </si>
  <si>
    <t xml:space="preserve">04001-10</t>
  </si>
  <si>
    <t xml:space="preserve">Drain headers</t>
  </si>
  <si>
    <t xml:space="preserve">Red tie-in routing arrows into 2"-DA-3003-A2 / 4"-DA-3023-A2 / 2"-DA-2051-A2 junctions — verify as-built tie-in points; update drawing.</t>
  </si>
  <si>
    <t xml:space="preserve">07001-01</t>
  </si>
  <si>
    <t xml:space="preserve">HAY-PID-07001</t>
  </si>
  <si>
    <t xml:space="preserve">Air Compressor / Receivers (SK-70001, VS-70001/2/4, TK-70001)</t>
  </si>
  <si>
    <t xml:space="preserve">VS-70004 wet receiver</t>
  </si>
  <si>
    <t xml:space="preserve">PSV-7005</t>
  </si>
  <si>
    <t xml:space="preserve">“Remove” + cloud + X — remove PSV-7005 manifold (set 155 psig) and adjoining PI-7004/½" valve. Engineering to confirm relief philosophy change. (Eng. Question Q16)</t>
  </si>
  <si>
    <t xml:space="preserve">07001-02</t>
  </si>
  <si>
    <t xml:space="preserve">VS-70004 top, 6" nozzle</t>
  </si>
  <si>
    <t xml:space="preserve">“VENT” + drawn gooseneck along 1½"-IA-7036-L2 — install atmospheric vent in lieu of removed PSV.</t>
  </si>
  <si>
    <t xml:space="preserve">07001-03</t>
  </si>
  <si>
    <t xml:space="preserve">½"-IA-7040-L2</t>
  </si>
  <si>
    <t xml:space="preserve">Red X-hatch — delete/remove line + ½" SS tube run below VS-70004.</t>
  </si>
  <si>
    <t xml:space="preserve">07001-05</t>
  </si>
  <si>
    <t xml:space="preserve">VS-70001 dry receiver</t>
  </si>
  <si>
    <t xml:space="preserve">PSV-7003</t>
  </si>
  <si>
    <t xml:space="preserve">“Remove” + cloud + X — remove PSV assembly (set 155 psig). (Eng. Question Q16)</t>
  </si>
  <si>
    <t xml:space="preserve">07001-06</t>
  </si>
  <si>
    <t xml:space="preserve">VS-70001 top nozzle</t>
  </si>
  <si>
    <t xml:space="preserve">“Vent” + “← PI” — install gooseneck vent + pressure gauge at top (1½"-IA-7032-L2).</t>
  </si>
  <si>
    <t xml:space="preserve">07001-07</t>
  </si>
  <si>
    <t xml:space="preserve">VS-70001 shell</t>
  </si>
  <si>
    <t xml:space="preserve">PI-7001</t>
  </si>
  <si>
    <t xml:space="preserve">Red cloud — relocate PI-7001 to top nozzle (with -06).</t>
  </si>
  <si>
    <t xml:space="preserve">07001-09</t>
  </si>
  <si>
    <t xml:space="preserve">VS-70002 dry receiver</t>
  </si>
  <si>
    <t xml:space="preserve">PSV-7001</t>
  </si>
  <si>
    <t xml:space="preserve">“Remove” + cloud + X — remove PSV assembly. (Eng. Question Q16)</t>
  </si>
  <si>
    <t xml:space="preserve">07001-10</t>
  </si>
  <si>
    <t xml:space="preserve">VS-70002 top nozzle</t>
  </si>
  <si>
    <t xml:space="preserve">“Vent” + “PI” — install vent + PI (1½"-IA-7035-L2).</t>
  </si>
  <si>
    <t xml:space="preserve">07001-11</t>
  </si>
  <si>
    <t xml:space="preserve">VS-70002 shell</t>
  </si>
  <si>
    <t xml:space="preserve">PI-7002</t>
  </si>
  <si>
    <t xml:space="preserve">Red cloud — relocate to top (with -10).</t>
  </si>
  <si>
    <t xml:space="preserve">07002-10</t>
  </si>
  <si>
    <t xml:space="preserve">HAY-PID-07002</t>
  </si>
  <si>
    <t xml:space="preserve">JT Fuel Skid (V-100/200/300, E-400A/B, P-500A-D)</t>
  </si>
  <si>
    <t xml:space="preserve">V-100 overhead</t>
  </si>
  <si>
    <t xml:space="preserve">PCV-100A, PI-101A</t>
  </si>
  <si>
    <t xml:space="preserve">Cloud + “Missing” — install instrument-gas regulator set: PCV-100A, PI-101A (0-150#), ¼" valve, tubing, TO SG-7 takeoff.</t>
  </si>
  <si>
    <t xml:space="preserve">07002-11</t>
  </si>
  <si>
    <t xml:space="preserve">Above LCV-100</t>
  </si>
  <si>
    <t xml:space="preserve">Red “¼"” + drawn valve — install ¼" valve upstream of LCV-100 (size ¼" vs ¾" to be verified).</t>
  </si>
  <si>
    <t xml:space="preserve">07002-12</t>
  </si>
  <si>
    <t xml:space="preserve">Below LCV-100</t>
  </si>
  <si>
    <t xml:space="preserve">Red “¼"” + drawn valve above 1" DSS spec break — install ¼" bleed.</t>
  </si>
  <si>
    <t xml:space="preserve">07002-13</t>
  </si>
  <si>
    <t xml:space="preserve">D/s LCV-200</t>
  </si>
  <si>
    <t xml:space="preserve">Red “¼"” + drawn valve at 2" DSS break — install ¼" valve.</t>
  </si>
  <si>
    <t xml:space="preserve">07002-14</t>
  </si>
  <si>
    <t xml:space="preserve">D/s LCV-300</t>
  </si>
  <si>
    <t xml:space="preserve">Red “¾"” + drawn valve at 2" DSS break — install ¾" valve (size to be verified).</t>
  </si>
  <si>
    <t xml:space="preserve">07002-15</t>
  </si>
  <si>
    <t xml:space="preserve">V-300 overhead 2"-PG-300-03</t>
  </si>
  <si>
    <t xml:space="preserve">Methanol inj. pt</t>
  </si>
  <si>
    <t xml:space="preserve">Cloud: “not connected inside skid.” — complete ¼" methanol-injection tie-in from pump 4.</t>
  </si>
  <si>
    <t xml:space="preserve">07002-16</t>
  </si>
  <si>
    <t xml:space="preserve">3"-PG-104-A (E-400A N4)</t>
  </si>
  <si>
    <t xml:space="preserve">Red highlighter trace, no text — segment flagged; verify installation/routing.</t>
  </si>
  <si>
    <t xml:space="preserve">07002-17</t>
  </si>
  <si>
    <t xml:space="preserve">3"-PG-104-B (E-400B N4)</t>
  </si>
  <si>
    <t xml:space="preserve">Red highlighter trace — verify installation/routing.</t>
  </si>
  <si>
    <t xml:space="preserve">07003-05</t>
  </si>
  <si>
    <t xml:space="preserve">HAY-PID-07003</t>
  </si>
  <si>
    <t xml:space="preserve">FG Coalescing Filter F-71001</t>
  </si>
  <si>
    <t xml:space="preserve">DP installation</t>
  </si>
  <si>
    <t xml:space="preserve">PDI-7101</t>
  </si>
  <si>
    <t xml:space="preserve">Cloud: “By Valley.” / “Missing” — install PDI-7101 assembly (manifold, ½" valves, tubing, 2"x½" taps); vendor “Valley” scope.</t>
  </si>
  <si>
    <t xml:space="preserve">07003-06</t>
  </si>
  <si>
    <t xml:space="preserve">Gauge standpipe (N5)</t>
  </si>
  <si>
    <t xml:space="preserve">Red-drawn vent valve at top — install.</t>
  </si>
  <si>
    <t xml:space="preserve">07003-07</t>
  </si>
  <si>
    <t xml:space="preserve">Stub below N6</t>
  </si>
  <si>
    <t xml:space="preserve">Red-drawn valve + plug — install drain valve + plug above 2"-LH-7002-A2-1.5"H-ET.</t>
  </si>
  <si>
    <t xml:space="preserve">07003-08</t>
  </si>
  <si>
    <t xml:space="preserve">Nozzle N8 stub</t>
  </si>
  <si>
    <t xml:space="preserve">Red valve symbol (~¾", partially legible) at KMTD/MPLX boundary — install valve; verify size.</t>
  </si>
  <si>
    <t xml:space="preserve">07003-09</t>
  </si>
  <si>
    <t xml:space="preserve">Stub below N7</t>
  </si>
  <si>
    <t xml:space="preserve">Red-drawn valve + plug next to RO-7102 — install drain valve + plug.</t>
  </si>
  <si>
    <t xml:space="preserve">07004-01</t>
  </si>
  <si>
    <t xml:space="preserve">HAY-PID-07004</t>
  </si>
  <si>
    <t xml:space="preserve">Blowcase System V-71001…V-71004</t>
  </si>
  <si>
    <t xml:space="preserve">V-71001 bottom outlet</t>
  </si>
  <si>
    <t xml:space="preserve">1" valve</t>
  </si>
  <si>
    <t xml:space="preserve">“Remove” + X — remove 1" valve (into 2" drain manifold).</t>
  </si>
  <si>
    <t xml:space="preserve">07004-02</t>
  </si>
  <si>
    <t xml:space="preserve">V-71002 bottom outlet</t>
  </si>
  <si>
    <t xml:space="preserve">“Remove” + X — remove 1" valve (to 2"-DR-7002-F2AS).</t>
  </si>
  <si>
    <t xml:space="preserve">07004-07</t>
  </si>
  <si>
    <t xml:space="preserve">2"-DR-7002-F2AS</t>
  </si>
  <si>
    <t xml:space="preserve">Red routing trace from 2"-DR-7002-F2AS into the bottom drain header — complete routing per markup. (Earlier “2"/Add” valve portion removed on current set — valve add cleared.)</t>
  </si>
  <si>
    <t xml:space="preserve">07004-10</t>
  </si>
  <si>
    <t xml:space="preserve">V-71003 sensing line</t>
  </si>
  <si>
    <t xml:space="preserve">PC/PV-71003C</t>
  </si>
  <si>
    <t xml:space="preserve">Red-drawn valve + “¼"” — install ¼" valve in sensing line.</t>
  </si>
  <si>
    <t xml:space="preserve">07004-11</t>
  </si>
  <si>
    <t xml:space="preserve">LG-71003 gauge drain</t>
  </si>
  <si>
    <t xml:space="preserve">Red tick + triangle at 1"x¾" tap — install ¾" bull plug / verify drain valve.</t>
  </si>
  <si>
    <t xml:space="preserve">07004-12</t>
  </si>
  <si>
    <t xml:space="preserve">LG-71004 gauge drain</t>
  </si>
  <si>
    <t xml:space="preserve">Red marks below lower gauge valve — install ¾" drain valve + plug.</t>
  </si>
  <si>
    <t xml:space="preserve">07004-13</t>
  </si>
  <si>
    <t xml:space="preserve">V-71003/71004 outfall</t>
  </si>
  <si>
    <t xml:space="preserve">Open drain</t>
  </si>
  <si>
    <t xml:space="preserve">Cloud around OPEN DRAIN at the V-71003/V-71004 outfall, text now “Where to / No ISO” — drain destination undefined and no isometric exists; engineering to route (Q19), then tie in.</t>
  </si>
  <si>
    <t xml:space="preserve">08005-04</t>
  </si>
  <si>
    <t xml:space="preserve">HAY-PID-08005</t>
  </si>
  <si>
    <t xml:space="preserve">B</t>
  </si>
  <si>
    <t xml:space="preserve">Anti Foam Tank TK-81011 / P-81011</t>
  </si>
  <si>
    <t xml:space="preserve">End of discharge run</t>
  </si>
  <si>
    <t xml:space="preserve">Red-drawn valve + “2"” (+ “inst…” partially legible) — install 2" isolation valve upstream of anti-foam distribution split.</t>
  </si>
  <si>
    <t xml:space="preserve">08005-05</t>
  </si>
  <si>
    <t xml:space="preserve">Distribution split → P-1A/B</t>
  </si>
  <si>
    <t xml:space="preserve">2" ball valve</t>
  </si>
  <si>
    <t xml:space="preserve">“Missing.” + cloud — install 2" ball valve on through-run to HAY-PID-02007.</t>
  </si>
  <si>
    <t xml:space="preserve">08005-06</t>
  </si>
  <si>
    <t xml:space="preserve">Distribution area</t>
  </si>
  <si>
    <t xml:space="preserve">“Need to Correct Iso To Match P&amp;ID” — revise piping isometric to match P&amp;ID.</t>
  </si>
  <si>
    <t xml:space="preserve">Status</t>
  </si>
  <si>
    <t xml:space="preserve">Closed By</t>
  </si>
  <si>
    <t xml:space="preserve">Date Closed</t>
  </si>
  <si>
    <t xml:space="preserve">Qty</t>
  </si>
  <si>
    <t xml:space="preserve">Description</t>
  </si>
  <si>
    <t xml:space="preserve">Size</t>
  </si>
  <si>
    <t xml:space="preserve">Rating</t>
  </si>
  <si>
    <t xml:space="preserve">Material</t>
  </si>
  <si>
    <t xml:space="preserve">Spec</t>
  </si>
  <si>
    <t xml:space="preserve">Line Number</t>
  </si>
  <si>
    <t xml:space="preserve">Notes / Punch Ref</t>
  </si>
  <si>
    <t xml:space="preserve">PO No.</t>
  </si>
  <si>
    <t xml:space="preserve">2</t>
  </si>
  <si>
    <t xml:space="preserve">Flow element (restriction orifice) + FIT transmitter; terminate pulled wire</t>
  </si>
  <si>
    <t xml:space="preserve">2" line</t>
  </si>
  <si>
    <t xml:space="preserve">V-PMS</t>
  </si>
  <si>
    <t xml:space="preserve">A2</t>
  </si>
  <si>
    <t xml:space="preserve">FE/FIT-100, FE/FIT-101</t>
  </si>
  <si>
    <t xml:space="preserve">2"-FG-2220-A2 / 2"-FG-2222-A2</t>
  </si>
  <si>
    <t xml:space="preserve">02013-02 / 02115-02</t>
  </si>
  <si>
    <t xml:space="preserve">1</t>
  </si>
  <si>
    <t xml:space="preserve">dP flow transmitter + 2 impulse manifold valve sets + tubing</t>
  </si>
  <si>
    <t xml:space="preserve">F2</t>
  </si>
  <si>
    <t xml:space="preserve">FIT P-3</t>
  </si>
  <si>
    <t xml:space="preserve">PDI dP assembly: manifold, ½" valves, tubing, 2"x½" taps (“By Valley” cloud)</t>
  </si>
  <si>
    <t xml:space="preserve">½"</t>
  </si>
  <si>
    <t xml:space="preserve">F-71001</t>
  </si>
  <si>
    <t xml:space="preserve">Regulator set: PCV + PI 0-150# + ¼" valve + tubing</t>
  </si>
  <si>
    <t xml:space="preserve">¼"</t>
  </si>
  <si>
    <t xml:space="preserve">PCV-100A / PI-101A</t>
  </si>
  <si>
    <t xml:space="preserve">Blanket-gas regulator + ¼" fittings</t>
  </si>
  <si>
    <t xml:space="preserve">Set 30 PSIG</t>
  </si>
  <si>
    <t xml:space="preserve">02015C-01 (Q5)</t>
  </si>
  <si>
    <t xml:space="preserve">lot</t>
  </si>
  <si>
    <t xml:space="preserve">¼" blanket-gas tubing/branch, full run across 02015C + 02015D</t>
  </si>
  <si>
    <t xml:space="preserve">SS</t>
  </si>
  <si>
    <t xml:space="preserve">02015C-02 (merged)</t>
  </si>
  <si>
    <t xml:space="preserve">Burner main-gas vent valve assembly: XV + FO orifice + vent gooseneck</t>
  </si>
  <si>
    <t xml:space="preserve">1½"</t>
  </si>
  <si>
    <t xml:space="preserve">NG</t>
  </si>
  <si>
    <t xml:space="preserve">Burner pilot-gas vent valve assembly: XV w/ solenoid + FO orifice + gooseneck</t>
  </si>
  <si>
    <t xml:space="preserve">¾"</t>
  </si>
  <si>
    <t xml:space="preserve">Control valve station w/ actuator — HOLD pending Q4 confirmation</t>
  </si>
  <si>
    <t xml:space="preserve">8"</t>
  </si>
  <si>
    <t xml:space="preserve">C2</t>
  </si>
  <si>
    <t xml:space="preserve">8"-HM-180 / -187</t>
  </si>
  <si>
    <t xml:space="preserve">02015C-08 (long lead)</t>
  </si>
  <si>
    <t xml:space="preserve">Pipe loop/seal (gooseneck) assembly w/ plug/blind — HOLD pending Q4</t>
  </si>
  <si>
    <t xml:space="preserve">Pressure gauge assembly 0-160 PSIG w/ ½" NPT valve + siphon (shipped loose — locate) + ½" threadolet tap on 8" line</t>
  </si>
  <si>
    <t xml:space="preserve">02015A-03 (merged)</t>
  </si>
  <si>
    <t xml:space="preserve">TI + thermowell</t>
  </si>
  <si>
    <t xml:space="preserve">A1</t>
  </si>
  <si>
    <t xml:space="preserve">Pressure gauge (receiver top mount, with vent goosenecks ×3)</t>
  </si>
  <si>
    <t xml:space="preserve">L2</t>
  </si>
  <si>
    <t xml:space="preserve">VS-70001 / VS-70002 / VS-70004</t>
  </si>
  <si>
    <t xml:space="preserve">07001-02/-06/-10 (Q16)</t>
  </si>
  <si>
    <t xml:space="preserve">Check valve</t>
  </si>
  <si>
    <t xml:space="preserve">1" (H5S)</t>
  </si>
  <si>
    <t xml:space="preserve">A00</t>
  </si>
  <si>
    <t xml:space="preserve">flash gas → 1"-V-0046-A2</t>
  </si>
  <si>
    <t xml:space="preserve">Valve, CSO + tailpipe completion inside skid limits</t>
  </si>
  <si>
    <t xml:space="preserve">1"</t>
  </si>
  <si>
    <t xml:space="preserve">02005-10/-11</t>
  </si>
  <si>
    <t xml:space="preserve">1+</t>
  </si>
  <si>
    <t xml:space="preserve">Bleed ring set w/ bleed valves at orifice flanges</t>
  </si>
  <si>
    <t xml:space="preserve">1" 6000#</t>
  </si>
  <si>
    <t xml:space="preserve">RO-3201A</t>
  </si>
  <si>
    <t xml:space="preserve">MAF-3200A glycol drain</t>
  </si>
  <si>
    <t xml:space="preserve">Valved + plugged branch assembly (o-let, valve, plug)</t>
  </si>
  <si>
    <t xml:space="preserve">6000# taps</t>
  </si>
  <si>
    <t xml:space="preserve">Orifice-flange pair + 2 tap valves w/ bleeds (per field sketch)</t>
  </si>
  <si>
    <t xml:space="preserve">10" line</t>
  </si>
  <si>
    <t xml:space="preserve">F2AS</t>
  </si>
  <si>
    <t xml:space="preserve">10"-GH-0026-F2AS</t>
  </si>
  <si>
    <t xml:space="preserve">02001-01 (Q2)</t>
  </si>
  <si>
    <t xml:space="preserve">±9</t>
  </si>
  <si>
    <t xml:space="preserve">Valves, small-bore w/ caps or plugs (vents/bleeds/drains)</t>
  </si>
  <si>
    <t xml:space="preserve">per line class</t>
  </si>
  <si>
    <t xml:space="preserve">various</t>
  </si>
  <si>
    <t xml:space="preserve">01001-12, 01003-15, 02001-13, 02004-01, 02007-01/-02, 03002-05 (plugs), 02003-08*, 02004-13*</t>
  </si>
  <si>
    <t xml:space="preserve">±7</t>
  </si>
  <si>
    <t xml:space="preserve">Valves w/ plugs (drains/vents)</t>
  </si>
  <si>
    <t xml:space="preserve">02005-07/-08, 02008-04, 07003-07/-09, 07004-11 (plug)/-12</t>
  </si>
  <si>
    <t xml:space="preserve">±10</t>
  </si>
  <si>
    <t xml:space="preserve">Valves (incl. 3 on 10"-LA-0017, 4 slop-tank drains, high-point vent on 8"-GH-3005)</t>
  </si>
  <si>
    <t xml:space="preserve">02009-02, 03002-02, 04001-06, 02012-07 (plug only)</t>
  </si>
  <si>
    <t xml:space="preserve">±4</t>
  </si>
  <si>
    <t xml:space="preserve">Valves, ¼" (LCV stations, sensing line)</t>
  </si>
  <si>
    <t xml:space="preserve">DSS / per class</t>
  </si>
  <si>
    <t xml:space="preserve">JT skid, blowcase</t>
  </si>
  <si>
    <t xml:space="preserve">07002-11/-12/-13, 07004-10 (07002-14 is ¾")</t>
  </si>
  <si>
    <t xml:space="preserve">Valves (fuel-gas isolations ×2, KOD drains ×2, E-2 shell, anti-foam ×2)</t>
  </si>
  <si>
    <t xml:space="preserve">2"</t>
  </si>
  <si>
    <t xml:space="preserve">02012-10, 02013-01/-08, 02115-01/-09, 08005-04/-05</t>
  </si>
  <si>
    <t xml:space="preserve">Valve spec change GVTONT → CB10 (CSO)</t>
  </si>
  <si>
    <t xml:space="preserve">CB10</t>
  </si>
  <si>
    <t xml:space="preserve">LG V-2A bridle</t>
  </si>
  <si>
    <t xml:space="preserve">V-2 N8/N9</t>
  </si>
  <si>
    <t xml:space="preserve">02004-06/-07</t>
  </si>
  <si>
    <t xml:space="preserve">Field count</t>
  </si>
  <si>
    <t xml:space="preserve">Gate valves to replace E-2 bridle valves (½", ¾" CB203; 2" CB10 CSO)</t>
  </si>
  <si>
    <t xml:space="preserve">½"–2"</t>
  </si>
  <si>
    <t xml:space="preserve">LG/LT E-2A/B</t>
  </si>
  <si>
    <t xml:space="preserve">E-2 bridles</t>
  </si>
  <si>
    <t xml:space="preserve">High-point vent assemblies (valve + plug; size unmarked, likely 1")</t>
  </si>
  <si>
    <t xml:space="preserve">TBD</t>
  </si>
  <si>
    <t xml:space="preserve">A2AS</t>
  </si>
  <si>
    <t xml:space="preserve">14"-AG-0033 / 14"-AG-0040</t>
  </si>
  <si>
    <t xml:space="preserve">02013-05 / 02115-05</t>
  </si>
  <si>
    <t xml:space="preserve">Valves at KOD-301/302 top connections (size per connection)</t>
  </si>
  <si>
    <t xml:space="preserve">KOD-301 / KOD-302</t>
  </si>
  <si>
    <t xml:space="preserve">02013-07 / 02115-07</t>
  </si>
  <si>
    <t xml:space="preserve">Root valves + fittings for relocated PIT taps</t>
  </si>
  <si>
    <t xml:space="preserve">G2</t>
  </si>
  <si>
    <t xml:space="preserve">PIT P-3A2 / PIT P-3D</t>
  </si>
  <si>
    <t xml:space="preserve">6"-LA-0025/0024-G2</t>
  </si>
  <si>
    <t xml:space="preserve">02011-05/-08</t>
  </si>
  <si>
    <t xml:space="preserve">Valve + blind flange on stub</t>
  </si>
  <si>
    <t xml:space="preserve">SB</t>
  </si>
  <si>
    <t xml:space="preserve">01001-16 (+ caps: -13/-17)</t>
  </si>
  <si>
    <t xml:space="preserve">±2</t>
  </si>
  <si>
    <t xml:space="preserve">Reducers 4"x2" (bridle LIT mounts — verify)</t>
  </si>
  <si>
    <t xml:space="preserve">4"x2"</t>
  </si>
  <si>
    <t xml:space="preserve">LIT-1001/-1002</t>
  </si>
  <si>
    <t xml:space="preserve">X-11001/X-12001 bridles</t>
  </si>
  <si>
    <t xml:space="preserve">01001-19/-20; 3"x2" verify 01001-37</t>
  </si>
  <si>
    <t xml:space="preserve">4</t>
  </si>
  <si>
    <t xml:space="preserve">Reducer/transition, PVRV riser</t>
  </si>
  <si>
    <t xml:space="preserve">6"x4"</t>
  </si>
  <si>
    <t xml:space="preserve">Enardo risers</t>
  </si>
  <si>
    <t xml:space="preserve">TK-41001…41004 C3</t>
  </si>
  <si>
    <t xml:space="preserve">Blind flange (verify nozzles open) + gaskets/bolting</t>
  </si>
  <si>
    <t xml:space="preserve">4"</t>
  </si>
  <si>
    <t xml:space="preserve">Slop tank C4 nozzles</t>
  </si>
  <si>
    <t xml:space="preserve">TK-41001…41004</t>
  </si>
  <si>
    <t xml:space="preserve">Swage + union/flange pair + valve</t>
  </si>
  <si>
    <t xml:space="preserve">1"x½"</t>
  </si>
  <si>
    <t xml:space="preserve">TK-2001 N4 drop</t>
  </si>
  <si>
    <t xml:space="preserve">½"-C-7001-F2AS</t>
  </si>
  <si>
    <t xml:space="preserve">New heat-traced drain lines: 2" pipe + fittings + 2" valves + heat trace/insulation</t>
  </si>
  <si>
    <t xml:space="preserve">A2, 1.5"H-ET</t>
  </si>
  <si>
    <t xml:space="preserve">2"-DA-2101 + second line (Q18)</t>
  </si>
  <si>
    <t xml:space="preserve">04001-08/-09/-10</t>
  </si>
  <si>
    <t xml:space="preserve">Side-stream filter loop piping + branch fittings (size labels removed — verify 1")</t>
  </si>
  <si>
    <t xml:space="preserve">6"-40-TF-106 / -110</t>
  </si>
  <si>
    <t xml:space="preserve">02015B-02…-05</t>
  </si>
  <si>
    <t xml:space="preserve">2" NPT bypass-vent piping (BTEX), per markup — add to ISOs</t>
  </si>
  <si>
    <t xml:space="preserve">2" NPT</t>
  </si>
  <si>
    <t xml:space="preserve">D vent → C outlet</t>
  </si>
  <si>
    <t xml:space="preserve">02014-03/-10 (Q6)</t>
  </si>
  <si>
    <t xml:space="preserve">Pipe shoe</t>
  </si>
  <si>
    <t xml:space="preserve">CS</t>
  </si>
  <si>
    <t xml:space="preserve">Replacement gauges if ranges wrong: PI 0-100#, TI 50-300F</t>
  </si>
  <si>
    <t xml:space="preserve">PI T-2B / TI T-2B</t>
  </si>
  <si>
    <t xml:space="preserve">T-2 nozzle C2</t>
  </si>
  <si>
    <t xml:space="preserve">Q#</t>
  </si>
  <si>
    <t xml:space="preserve">Topic</t>
  </si>
  <si>
    <t xml:space="preserve">Question / Detail</t>
  </si>
  <si>
    <t xml:space="preserve">Answer / Disposition</t>
  </si>
  <si>
    <t xml:space="preserve">Answered By</t>
  </si>
  <si>
    <t xml:space="preserve">Date</t>
  </si>
  <si>
    <t xml:space="preserve">Q2</t>
  </si>
  <si>
    <t xml:space="preserve">Coalescing filter inlet (HAY-PID-02001)</t>
  </si>
  <si>
    <t xml:space="preserve">the orifice/tap sketch remains but the “RO + FIT ?” question text was removed — confirm final metering disposition so 02001-01 can be executed. (Companion Q1 on the slug catcher was fully removed — see Section 7.)</t>
  </si>
  <si>
    <t xml:space="preserve">Q4</t>
  </si>
  <si>
    <t xml:space="preserve">Hot Oil expansion tank (HAY-PID-02015C)</t>
  </si>
  <si>
    <t xml:space="preserve">FCV-45001A station, the 8" gooseneck, and test point TP-E6 are all clouded “Doesn’t Exist – not on ISO’s”. Confirm scope, issue ISOs, and release the 8" control valve for procurement if required (long lead). (02015C-06/-07/-08)</t>
  </si>
  <si>
    <t xml:space="preserve">Q5</t>
  </si>
  <si>
    <t xml:space="preserve">Blanket gas (HAY-PID-02015C)</t>
  </si>
  <si>
    <t xml:space="preserve">PCV-2001 station still hatched as not installed; the earlier field-deviation note (“¾" valve on adjacent 3" FG pipe”) was removed. Install per design or formalize the deviation. (02015C-01)</t>
  </si>
  <si>
    <t xml:space="preserve">Q6</t>
  </si>
  <si>
    <t xml:space="preserve">BTEX bypass vent (HAY-PID-02014)</t>
  </si>
  <si>
    <t xml:space="preserve">2" NPT vent piping still clouded “Missing / Not on ISOs / Skid limits” — issue ISO/routing. (02014-03/-10)</t>
  </si>
  <si>
    <t xml:space="preserve">Q9</t>
  </si>
  <si>
    <t xml:space="preserve">TCV E-2 station sizes (HAY-PID-02012)</t>
  </si>
  <si>
    <t xml:space="preserve">red “6"” marks remain at four station valves — verify installed sizes vs drawing. (02012-11)</t>
  </si>
  <si>
    <t xml:space="preserve">Q12</t>
  </si>
  <si>
    <t xml:space="preserve">PSV-3200A nozzle (HAY-PID-03001)</t>
  </si>
  <si>
    <t xml:space="preserve">red 1½" vs printed 1"x1" NPT still marked — confirm connection size. (03001-03)</t>
  </si>
  <si>
    <t xml:space="preserve">Q13</t>
  </si>
  <si>
    <t xml:space="preserve">“Doesn’t exist” valves (HAY-PID-02007 / 02005)</t>
  </si>
  <si>
    <t xml:space="preserve">printed 1" C1203F LSD valve, 6" CV10 lean-amine valve, and the PSV F-2 tailpipe 1" CSO remain marked absent — install per drawing or revise drawings. (02007-03/-05, 02005-10/-11)</t>
  </si>
  <si>
    <t xml:space="preserve">Q16</t>
  </si>
  <si>
    <t xml:space="preserve">Air-system relief redesign (HAY-PID-07001)</t>
  </si>
  <si>
    <t xml:space="preserve">the PSV-7001/-7003/-7005 removals with replacement vents + relocated PIs remain fully marked. Confirm the redesign is engineered and code-compliant BEFORE removing relief devices. (07001-01…-11)</t>
  </si>
  <si>
    <t xml:space="preserve">Q18</t>
  </si>
  <si>
    <t xml:space="preserve">Slop-tank drain lines (HAY-PID-04001)</t>
  </si>
  <si>
    <t xml:space="preserve">both red-drawn 2" lines remain; one tie-in reference still blank, the other line number partially legible — assign line numbers/sheet refs. (04001-08/-09/-10)</t>
  </si>
  <si>
    <t xml:space="preserve">Q19 (new)</t>
  </si>
  <si>
    <t xml:space="preserve">Blowcase open drain (HAY-PID-07004)</t>
  </si>
  <si>
    <t xml:space="preserve">cloud now reads “Where to / No ISO” — define the drain destination and issue the ISO, then tie in. (07004-13)</t>
  </si>
  <si>
    <t xml:space="preserve">Order</t>
  </si>
  <si>
    <t xml:space="preserve">Notes</t>
  </si>
  <si>
    <t xml:space="preserve">FE/FIT-100 &amp; -101 orifices + transmitters; FIT P-3 + manifolds</t>
  </si>
  <si>
    <t xml:space="preserve">3 sets</t>
  </si>
  <si>
    <t xml:space="preserve">wire already pulled at VCU meters</t>
  </si>
  <si>
    <t xml:space="preserve">Blanket-gas: PCV-2001 + ¼" tubing/fittings; burner vent assemblies XV-20003A / XV-20006A</t>
  </si>
  <si>
    <t xml:space="preserve">1+lot+2</t>
  </si>
  <si>
    <t xml:space="preserve">hot-oil startup blockers</t>
  </si>
  <si>
    <t xml:space="preserve">FCV-45001A 8" CV station; 8" gooseneck assembly</t>
  </si>
  <si>
    <t xml:space="preserve">1+1</t>
  </si>
  <si>
    <t xml:space="preserve">HOLD Q4 — release scope first; long lead</t>
  </si>
  <si>
    <t xml:space="preserve">Valve package: ¼"×4, ½"×9±, ¾"×7±, 1"×10±, 2"×7±, 2" CB10 ×2, 1" H5S check, 1" CSO, KOD-top valves ×2, HP-vent assemblies ×2, gate-valve swap (field count)</t>
  </si>
  <si>
    <t xml:space="preserve">~48</t>
  </si>
  <si>
    <t xml:space="preserve">order to line-class specs — V-PMS</t>
  </si>
  <si>
    <t xml:space="preserve">PDI-7101 assembly; PCV-100A/PI-101A set; PI-27002A gauge assy + ½" threadolet; TI/TW E-1D; receiver PIs ×2; bleed rings; orifice-flange pair + tap valves (Q2)</t>
  </si>
  <si>
    <t xml:space="preserve">PI-27002A is shipped-loose — locate first</t>
  </si>
  <si>
    <t xml:space="preserve">Piping lots: 2" HT slop drains ×2 (+heat trace), 1" side-stream loop, 2" NPT BTEX vent, reducers (6"x4" ×4, 4"x2" ±2, 1"x½"), 4" blinds ±4, 1 shoe</t>
  </si>
  <si>
    <t xml:space="preserve">Q18/Q6 refs to be assigned</t>
  </si>
  <si>
    <t xml:space="preserve">Replacement gauges PI 0-100# / TI 50-300F (if range verification fails)</t>
  </si>
  <si>
    <t xml:space="preserve">Description (Rev 0)</t>
  </si>
  <si>
    <t xml:space="preserve">Disposition</t>
  </si>
  <si>
    <t xml:space="preserve">Rev 0 Priority</t>
  </si>
  <si>
    <t xml:space="preserve">01001-01</t>
  </si>
  <si>
    <t xml:space="preserve">“Install (Inlet/outlet)” — install the two 1" IA take-off valves/drops feeding PCV-1001 &amp; PCV-1002.</t>
  </si>
  <si>
    <t xml:space="preserve">CLOSED — mark not on current redline set (2026-08-12)</t>
  </si>
  <si>
    <t xml:space="preserve">01001-02</t>
  </si>
  <si>
    <t xml:space="preserve">“Install Platforms (2)” — install two access platforms.</t>
  </si>
  <si>
    <t xml:space="preserve">01001-03</t>
  </si>
  <si>
    <t xml:space="preserve">“Wire” — pull/terminate instrument wiring.</t>
  </si>
  <si>
    <t xml:space="preserve">01001-04</t>
  </si>
  <si>
    <t xml:space="preserve">“Rotate Handle Due South” — reorient valve handle.</t>
  </si>
  <si>
    <t xml:space="preserve">01001-05</t>
  </si>
  <si>
    <t xml:space="preserve">“Roll after PSSR” — red-drawn spectacle blind at inlet 16" CSO valve; roll to open position after PSSR.</t>
  </si>
  <si>
    <t xml:space="preserve">CLOSED — mark not on current redline set (2026-08-12) — SAFETY: field-confirm before startup (see report Section 7)</t>
  </si>
  <si>
    <t xml:space="preserve">01001-06</t>
  </si>
  <si>
    <t xml:space="preserve">“Roll after PSSR” — second red-drawn spectacle blind on outlet gas header to 16" launcher; roll after PSSR.</t>
  </si>
  <si>
    <t xml:space="preserve">01001-07</t>
  </si>
  <si>
    <t xml:space="preserve">Red-drawn 1" valve w/ plug teed off outlet header at the blind — install.</t>
  </si>
  <si>
    <t xml:space="preserve">01001-08</t>
  </si>
  <si>
    <t xml:space="preserve">“U/G” at OUTLET GAS HEADER TO 16" LAUNCHER flag — record underground transition (as-built).</t>
  </si>
  <si>
    <t xml:space="preserve">01001-09</t>
  </si>
  <si>
    <t xml:space="preserve">“U/G” break-arc right of ESD station — record underground segment (as-built).</t>
  </si>
  <si>
    <t xml:space="preserve">01001-10</t>
  </si>
  <si>
    <t xml:space="preserve">“Wire + Tubing” — complete wiring and pneumatic tubing at inlet ESD valve station.</t>
  </si>
  <si>
    <t xml:space="preserve">01001-11</t>
  </si>
  <si>
    <t xml:space="preserve">“Wire + Tubing” — complete wiring and tubing at outlet ESD valve station.</t>
  </si>
  <si>
    <t xml:space="preserve">01001-14</t>
  </si>
  <si>
    <t xml:space="preserve">“Confirm” — verify relief set pressure 1430 PSIG (fire) against nameplate/certs.</t>
  </si>
  <si>
    <t xml:space="preserve">01001-15</t>
  </si>
  <si>
    <t xml:space="preserve">“Confirm” — verify relief set pressure (X-12001) against nameplate/certs.</t>
  </si>
  <si>
    <t xml:space="preserve">01001-18</t>
  </si>
  <si>
    <t xml:space="preserve">01001-25</t>
  </si>
  <si>
    <t xml:space="preserve">“Missing” (×2, pink highlight) — 4" cone strainer and 4" FD (“SIZE HOLD”) on NC bypass not installed. Install; engineering to release size hold.</t>
  </si>
  <si>
    <t xml:space="preserve">01001-26</t>
  </si>
  <si>
    <t xml:space="preserve">“Missing” (×2) — same missing 4" cone strainer + FD (SIZE HOLD) at X-12001 letdown bypass.</t>
  </si>
  <si>
    <t xml:space="preserve">01001-27</t>
  </si>
  <si>
    <t xml:space="preserve">“Wire” — complete loop wiring.</t>
  </si>
  <si>
    <t xml:space="preserve">01001-28</t>
  </si>
  <si>
    <t xml:space="preserve">“Wire” — complete loop wiring incl. level safety switches.</t>
  </si>
  <si>
    <t xml:space="preserve">01001-29</t>
  </si>
  <si>
    <t xml:space="preserve">Red slashes across dashed signal lines + “Wire” — pull signal wiring.</t>
  </si>
  <si>
    <t xml:space="preserve">01001-30</t>
  </si>
  <si>
    <t xml:space="preserve">“Install pipe shoes (3)” — install three pipe shoes.</t>
  </si>
  <si>
    <t xml:space="preserve">01001-31</t>
  </si>
  <si>
    <t xml:space="preserve">“Grout + Ground” — grout saddles and install grounding.</t>
  </si>
  <si>
    <t xml:space="preserve">01001-32</t>
  </si>
  <si>
    <t xml:space="preserve">“Add valves (2) – SC#1 + SC#2” — add one IA isolation valve per slug catcher.</t>
  </si>
  <si>
    <t xml:space="preserve">01001-34</t>
  </si>
  <si>
    <t xml:space="preserve">Large hatched cloud over meter-run instruments + sketch of orifice run: “Installing Orifice Meter or RO + FIT ?” — engineering to confirm metering design; install per answer. (Eng. Question Q1)</t>
  </si>
  <si>
    <t xml:space="preserve">01001-35</t>
  </si>
  <si>
    <t xml:space="preserve">“Add” — red-drawn valves: 2" (×2) + ½" (×1) — install.</t>
  </si>
  <si>
    <t xml:space="preserve">01001-36</t>
  </si>
  <si>
    <t xml:space="preserve">“U/G” break-arcs — record underground segments (as-built).</t>
  </si>
  <si>
    <t xml:space="preserve">01001-39</t>
  </si>
  <si>
    <t xml:space="preserve">Red cloud + curved arrow — relocate PT-1001B tap to adjacent riser.</t>
  </si>
  <si>
    <t xml:space="preserve">01001-40</t>
  </si>
  <si>
    <t xml:space="preserve">Red/pink highlight along line to Dehy Train I &amp; II + “U/G” — record underground routing (as-built).</t>
  </si>
  <si>
    <t xml:space="preserve">01001-41</t>
  </si>
  <si>
    <t xml:space="preserve">“Wire + Tubing” — complete wiring/tubing in blowdown drain area.</t>
  </si>
  <si>
    <t xml:space="preserve">01001-42</t>
  </si>
  <si>
    <t xml:space="preserve">“wire” — wire position switches on ESD blowdown valve.</t>
  </si>
  <si>
    <t xml:space="preserve">01001-43</t>
  </si>
  <si>
    <t xml:space="preserve">“U/G” + break-arc — record underground transition (as-built).</t>
  </si>
  <si>
    <t xml:space="preserve">01003-01</t>
  </si>
  <si>
    <t xml:space="preserve">“Missing U-bolt (2)” — install two 10" U-bolts at inlet ESD station.</t>
  </si>
  <si>
    <t xml:space="preserve">01003-02</t>
  </si>
  <si>
    <t xml:space="preserve">“Secure 2 U-bolt / Missing 1 U-bolt” — secure two existing U-bolts, install one missing.</t>
  </si>
  <si>
    <t xml:space="preserve">01003-03</t>
  </si>
  <si>
    <t xml:space="preserve">“Tubing” — complete pneumatic tubing at solenoid/quick-connect.</t>
  </si>
  <si>
    <t xml:space="preserve">01003-04</t>
  </si>
  <si>
    <t xml:space="preserve">“Add Gate Valve” — install 2" gate valve in bypass leg of inlet station.</t>
  </si>
  <si>
    <t xml:space="preserve">01003-05</t>
  </si>
  <si>
    <t xml:space="preserve">“Add platform (AR)” — access platform as required.</t>
  </si>
  <si>
    <t xml:space="preserve">01003-06</t>
  </si>
  <si>
    <t xml:space="preserve">“Missing” + pink highlight over ENTIRE PSV package (PSV, 3" vent to ATM, 1½"-GH-0030-F2AS inlet, ½" bleed) — supply &amp; install complete relief assembly (set per V-22001, 1435 PSIG design).</t>
  </si>
  <si>
    <t xml:space="preserve">01003-08</t>
  </si>
  <si>
    <t xml:space="preserve">Red “LT” circle + “3X2” capped-stub sketch — mount LIT-1004 on 3"x2" reducer with cap.</t>
  </si>
  <si>
    <t xml:space="preserve">01003-13</t>
  </si>
  <si>
    <t xml:space="preserve">“Torque” — torque manway bolting to spec.</t>
  </si>
  <si>
    <t xml:space="preserve">01003-14</t>
  </si>
  <si>
    <t xml:space="preserve">“Ground” — install vessel grounding.</t>
  </si>
  <si>
    <t xml:space="preserve">01003-16</t>
  </si>
  <si>
    <t xml:space="preserve">“Missing 3" blind + ½" valve” — install 3" blind flange (w/ gasket &amp; bolting) and ½" valve at bridle drain below lower nozzle.</t>
  </si>
  <si>
    <t xml:space="preserve">01003-17</t>
  </si>
  <si>
    <t xml:space="preserve">“Shim pipe shoe” — shim shoe downstream of V-22001 outlet valve.</t>
  </si>
  <si>
    <t xml:space="preserve">01003-18</t>
  </si>
  <si>
    <t xml:space="preserve">“Missing pipe shoe + shim” — install shoe + shim at FC letdown station.</t>
  </si>
  <si>
    <t xml:space="preserve">01003-19</t>
  </si>
  <si>
    <t xml:space="preserve">“lift pipe &amp; put shoe on beam” (1) — reset shoe onto beam.</t>
  </si>
  <si>
    <t xml:space="preserve">01003-20</t>
  </si>
  <si>
    <t xml:space="preserve">“lift pipe &amp; put shoe on beam” (2) — reset shoe at letdown station.</t>
  </si>
  <si>
    <t xml:space="preserve">01003-21</t>
  </si>
  <si>
    <t xml:space="preserve">“Tubing + lower latching switch to grade (Tubing)” — run tubing; relocate latching switch to grade.</t>
  </si>
  <si>
    <t xml:space="preserve">01003-22</t>
  </si>
  <si>
    <t xml:space="preserve">Red note “2"-LH-0009-F2AS / P&amp;ID-02001” + circled 1 — line continues to HAY-PID-02001; update drawing continuity (mate of 02001-14).</t>
  </si>
  <si>
    <t xml:space="preserve">MERGED — duplicate of 02001-14</t>
  </si>
  <si>
    <t xml:space="preserve">02001-02</t>
  </si>
  <si>
    <t xml:space="preserve">“Remove Wood block” — remove shipping block from 10" FC valve.</t>
  </si>
  <si>
    <t xml:space="preserve">02001-03</t>
  </si>
  <si>
    <t xml:space="preserve">“Missing” + pink highlight over full assembly (PSV set 1440 PSIG fire, 2" TO ATM tail, 2"x1" reducer, ½" bleed, 2" CSO block) — supply &amp; install.</t>
  </si>
  <si>
    <t xml:space="preserve">02001-04</t>
  </si>
  <si>
    <t xml:space="preserve">“Conduit Installed, Need to pull wire” — pull &amp; terminate wire to heated enclosure/stream splitter.</t>
  </si>
  <si>
    <t xml:space="preserve">02001-05</t>
  </si>
  <si>
    <t xml:space="preserve">“Rotate Due West” — reorient controller.</t>
  </si>
  <si>
    <t xml:space="preserve">02001-06</t>
  </si>
  <si>
    <t xml:space="preserve">“Rotate Due East” — reorient controller.</t>
  </si>
  <si>
    <t xml:space="preserve">02001-08</t>
  </si>
  <si>
    <t xml:space="preserve">“Tubing” — complete pneumatic tubing.</t>
  </si>
  <si>
    <t xml:space="preserve">02001-09</t>
  </si>
  <si>
    <t xml:space="preserve">“Tubing” — complete tubing on vertical 2" run/header connections.</t>
  </si>
  <si>
    <t xml:space="preserve">02001-10</t>
  </si>
  <si>
    <t xml:space="preserve">“shoe” — install one pipe shoe.</t>
  </si>
  <si>
    <t xml:space="preserve">02001-11</t>
  </si>
  <si>
    <t xml:space="preserve">“Ground vessel + skid” — install grounding.</t>
  </si>
  <si>
    <t xml:space="preserve">02001-12</t>
  </si>
  <si>
    <t xml:space="preserve">“Grout” — grout vessel base.</t>
  </si>
  <si>
    <t xml:space="preserve">02001-15</t>
  </si>
  <si>
    <t xml:space="preserve">“U/G” + break — record underground segment of gas outlet header (as-built).</t>
  </si>
  <si>
    <t xml:space="preserve">02002-01</t>
  </si>
  <si>
    <t xml:space="preserve">“Confirm” — verify set pressure 1440 PSIG (fire) against nameplate.</t>
  </si>
  <si>
    <t xml:space="preserve">02002-02</t>
  </si>
  <si>
    <t xml:space="preserve">“Missing” + pink highlight — install 2" PSV vent tailpipe to ATM.</t>
  </si>
  <si>
    <t xml:space="preserve">02002-03</t>
  </si>
  <si>
    <t xml:space="preserve">“Add Brace” — brace/support the vent tailpipe.</t>
  </si>
  <si>
    <t xml:space="preserve">02002-04</t>
  </si>
  <si>
    <t xml:space="preserve">“Missing” + pink highlight along full ½" SS tubing run (top to bottom tap) — install dP impulse tubing (~55 ft + fittings).</t>
  </si>
  <si>
    <t xml:space="preserve">02002-05</t>
  </si>
  <si>
    <t xml:space="preserve">“Secure U-bolt” — secure U-bolt on lean amine line near N3.</t>
  </si>
  <si>
    <t xml:space="preserve">02002-06</t>
  </si>
  <si>
    <t xml:space="preserve">“Torque after Inspection” — torque lower manway after internal inspection.</t>
  </si>
  <si>
    <t xml:space="preserve">02002-07</t>
  </si>
  <si>
    <t xml:space="preserve">“Rotate 90° so Valve is Horizontal” — reorient inlet valve.</t>
  </si>
  <si>
    <t xml:space="preserve">02002-09</t>
  </si>
  <si>
    <t xml:space="preserve">“Grout” — grout baseplate.</t>
  </si>
  <si>
    <t xml:space="preserve">02002-10</t>
  </si>
  <si>
    <t xml:space="preserve">“Confirm” — verify restriction orifice bore 1.5" per datasheet.</t>
  </si>
  <si>
    <t xml:space="preserve">02003-01</t>
  </si>
  <si>
    <t xml:space="preserve">“Confirm” — verify set pressure 1440 PSIG (fire, 1D2 orifice) against nameplate.</t>
  </si>
  <si>
    <t xml:space="preserve">02003-02</t>
  </si>
  <si>
    <t xml:space="preserve">“Add Brace” — brace 2" atmospheric vent riser.</t>
  </si>
  <si>
    <t xml:space="preserve">02003-04</t>
  </si>
  <si>
    <t xml:space="preserve">“Torque” — torque manway cover.</t>
  </si>
  <si>
    <t xml:space="preserve">02003-05</t>
  </si>
  <si>
    <t xml:space="preserve">02003-06</t>
  </si>
  <si>
    <t xml:space="preserve">“Install platform” — access platform for level valve/instrument area.</t>
  </si>
  <si>
    <t xml:space="preserve">02003-07</t>
  </si>
  <si>
    <t xml:space="preserve">“Missing” + pink highlight over printed “CHOKE NIPPLE / 3/8" BORE” — install 1" choke nipple, 3/8" bore, on condensate to flash tank.</t>
  </si>
  <si>
    <t xml:space="preserve">02003A-01</t>
  </si>
  <si>
    <t xml:space="preserve">HAY-PID-02003A</t>
  </si>
  <si>
    <t xml:space="preserve">“Tubing” — install pneumatic tubing from TY AC-4 to automated louver actuator.</t>
  </si>
  <si>
    <t xml:space="preserve">02004-02</t>
  </si>
  <si>
    <t xml:space="preserve">“Confirm” — verify set pressure 150 PSIG (6R8) against nameplate.</t>
  </si>
  <si>
    <t xml:space="preserve">02004-03</t>
  </si>
  <si>
    <t xml:space="preserve">Red “1"” + cap mark — change upstream bleed valve to 1", cap outlet.</t>
  </si>
  <si>
    <t xml:space="preserve">02004-04</t>
  </si>
  <si>
    <t xml:space="preserve">Printed ¾" struck, “1"” + cap — change downstream bleed to 1", cap outlet.</t>
  </si>
  <si>
    <t xml:space="preserve">02004-08</t>
  </si>
  <si>
    <t xml:space="preserve">“Secure Wire” (two arrows) — secure wire/heat-trace along bridle standpipe.</t>
  </si>
  <si>
    <t xml:space="preserve">02004-09</t>
  </si>
  <si>
    <t xml:space="preserve">“Wire” — complete/terminate wiring at transmitter.</t>
  </si>
  <si>
    <t xml:space="preserve">02004-11</t>
  </si>
  <si>
    <t xml:space="preserve">“Grout (2)” — grout both saddles.</t>
  </si>
  <si>
    <t xml:space="preserve">02004-12</t>
  </si>
  <si>
    <t xml:space="preserve">“Install Platform” — access platform at level-instrument end.</t>
  </si>
  <si>
    <t xml:space="preserve">02005-01</t>
  </si>
  <si>
    <t xml:space="preserve">“Add 2" valve / (CSO)” — install 2" CSO valve at skid-edge vent to drain system.</t>
  </si>
  <si>
    <t xml:space="preserve">02005-02</t>
  </si>
  <si>
    <t xml:space="preserve">“Confirm” — verify set 150 PSIG (fire, 1½F2).</t>
  </si>
  <si>
    <t xml:space="preserve">02005-03</t>
  </si>
  <si>
    <t xml:space="preserve">“Missing ½" Tubing” + pink highlight — install ½" SS tubing run (check valve to ½"-V-0060-A1 tie-in).</t>
  </si>
  <si>
    <t xml:space="preserve">02005-04</t>
  </si>
  <si>
    <t xml:space="preserve">Red-drawn 2" valve w/ X at skid boundary above rich-amine entry — pictorial for 02005-05; install with it.</t>
  </si>
  <si>
    <t xml:space="preserve">02005-05</t>
  </si>
  <si>
    <t xml:space="preserve">“Add 2" check + Block” — install 2" check valve + 2" block valve at scope break (flush/aux connection).</t>
  </si>
  <si>
    <t xml:space="preserve">02005-06</t>
  </si>
  <si>
    <t xml:space="preserve">“Confirm” — verify orifice bore 2.0".</t>
  </si>
  <si>
    <t xml:space="preserve">02005-09</t>
  </si>
  <si>
    <t xml:space="preserve">“Tighten ½" Tubing Ferrule” — tighten compression fitting.</t>
  </si>
  <si>
    <t xml:space="preserve">02006-03</t>
  </si>
  <si>
    <t xml:space="preserve">Red “2-DR-0100-A2” filled into blank continuation flag over HAY-PID-02005 — correct drawing (mate of 02005-13).</t>
  </si>
  <si>
    <t xml:space="preserve">MERGED — duplicate of 02005-13</t>
  </si>
  <si>
    <t xml:space="preserve">02007-04</t>
  </si>
  <si>
    <t xml:space="preserve">“plug” — install ½" plug on open connection below valve near PSV F-4.</t>
  </si>
  <si>
    <t xml:space="preserve">02007-07</t>
  </si>
  <si>
    <t xml:space="preserve">“Remove 2x4 &amp; Adjust support” — remove temporary lumber, install permanent support.</t>
  </si>
  <si>
    <t xml:space="preserve">02008-01</t>
  </si>
  <si>
    <t xml:space="preserve">“Add shoes (4)” — install four pipe shoes on antifoam line at skid-edge run.</t>
  </si>
  <si>
    <t xml:space="preserve">02008-02</t>
  </si>
  <si>
    <t xml:space="preserve">“Missing” + pink highlight — install MPLX-supplied 2" static mixer X-2 (Note 1).</t>
  </si>
  <si>
    <t xml:space="preserve">02008-03</t>
  </si>
  <si>
    <t xml:space="preserve">Pink highlight on note “1) SUPPLIED BY MPLX.” — cross-reference to 02008-02 (locate MPLX-supplied material).</t>
  </si>
  <si>
    <t xml:space="preserve">02008-05</t>
  </si>
  <si>
    <t xml:space="preserve">Red “2" / Add” + drawn gate valve — install 2" block valve at Skid #1 limit crossing.</t>
  </si>
  <si>
    <t xml:space="preserve">02009-01</t>
  </si>
  <si>
    <t xml:space="preserve">“Confirm” — verify pilot-operated PSV set 100 PSIG.</t>
  </si>
  <si>
    <t xml:space="preserve">02009-03</t>
  </si>
  <si>
    <t xml:space="preserve">“Missing” — install ½" CB203 vent (top) and ½" CB203 drain (bottom) on gauge bridle.</t>
  </si>
  <si>
    <t xml:space="preserve">02009-04</t>
  </si>
  <si>
    <t xml:space="preserve">Red “CSC” beside printed CSO — car-seal-closed per field; reconcile CSO vs CSC with engineering. (Eng. Question Q10)</t>
  </si>
  <si>
    <t xml:space="preserve">02009-06</t>
  </si>
  <si>
    <t xml:space="preserve">Red “CSC” — same car-seal reconciliation at bottom drain.</t>
  </si>
  <si>
    <t xml:space="preserve">02009-07</t>
  </si>
  <si>
    <t xml:space="preserve">“Torque After Inspection” — torque after internal inspection.</t>
  </si>
  <si>
    <t xml:space="preserve">02009-08</t>
  </si>
  <si>
    <t xml:space="preserve">“Grout” — grout base ring.</t>
  </si>
  <si>
    <t xml:space="preserve">02009-09</t>
  </si>
  <si>
    <t xml:space="preserve">“Install platform” — access platform at reflux line/valve area.</t>
  </si>
  <si>
    <t xml:space="preserve">02009-10</t>
  </si>
  <si>
    <t xml:space="preserve">“Electrical Cover” — install missing transmitter housing cover.</t>
  </si>
  <si>
    <t xml:space="preserve">02009-11</t>
  </si>
  <si>
    <t xml:space="preserve">“Tubing” — install instrument air tubing (I/P to valve).</t>
  </si>
  <si>
    <t xml:space="preserve">02009-12</t>
  </si>
  <si>
    <t xml:space="preserve">“Install platform” — access platform at 8" acid gas control station.</t>
  </si>
  <si>
    <t xml:space="preserve">02010-01</t>
  </si>
  <si>
    <t xml:space="preserve">HAY-PID-02010</t>
  </si>
  <si>
    <t xml:space="preserve">“Missing” + pink highlight — install PSV AC-1 (2"x1½", set 150 PSIG, check-valve-failure case) and relief route via 3"-V-0102-A2.</t>
  </si>
  <si>
    <t xml:space="preserve">02010-02</t>
  </si>
  <si>
    <t xml:space="preserve">Red “CSO” — car-seal-open the isolation valve.</t>
  </si>
  <si>
    <t xml:space="preserve">02010-03</t>
  </si>
  <si>
    <t xml:space="preserve">“Tubing” — install I/P-to-louver-actuator tubing.</t>
  </si>
  <si>
    <t xml:space="preserve">02010-04</t>
  </si>
  <si>
    <t xml:space="preserve">“Tubing” — install tubing to AC-2 louver actuator.</t>
  </si>
  <si>
    <t xml:space="preserve">02010-05</t>
  </si>
  <si>
    <t xml:space="preserve">“Cleanup Area” — housekeeping.</t>
  </si>
  <si>
    <t xml:space="preserve">02011-01</t>
  </si>
  <si>
    <t xml:space="preserve">Red “3" / Add” + drawn gate valve — install 3" block valve before the drain-system flag.</t>
  </si>
  <si>
    <t xml:space="preserve">02011-02</t>
  </si>
  <si>
    <t xml:space="preserve">“Discharge Pressure? Goes to 165# MAWP Vessel” — engineering must verify 1440 PSIG relief routing to low-pressure drain vessel. (Eng. Question Q3)</t>
  </si>
  <si>
    <t xml:space="preserve">02011-03</t>
  </si>
  <si>
    <t xml:space="preserve">“Confirm” — verify pilot-operated PSV set 1440 PSIG (blocked flow).</t>
  </si>
  <si>
    <t xml:space="preserve">02011-04</t>
  </si>
  <si>
    <t xml:space="preserve">“Missing” + pink highlight — install ½"x⅜" SS tubing run to P-3A discharge valve string.</t>
  </si>
  <si>
    <t xml:space="preserve">02011-06</t>
  </si>
  <si>
    <t xml:space="preserve">“Wire” + cloud — pull/terminate wiring.</t>
  </si>
  <si>
    <t xml:space="preserve">02011-07</t>
  </si>
  <si>
    <t xml:space="preserve">“Wire” — wire loop.</t>
  </si>
  <si>
    <t xml:space="preserve">02011-09</t>
  </si>
  <si>
    <t xml:space="preserve">02011-10</t>
  </si>
  <si>
    <t xml:space="preserve">“Bolt up After Alignment” — final bolt-up of 4" 900# discharge spool and 6" 150# suction flange after alignment.</t>
  </si>
  <si>
    <t xml:space="preserve">02011-11</t>
  </si>
  <si>
    <t xml:space="preserve">“Bolt up After Alignment” — same at P-3B.</t>
  </si>
  <si>
    <t xml:space="preserve">02011-12</t>
  </si>
  <si>
    <t xml:space="preserve">“Valve Handle” — install missing handwheel at P-3A discharge block.</t>
  </si>
  <si>
    <t xml:space="preserve">02011-13</t>
  </si>
  <si>
    <t xml:space="preserve">“Valve Handle” — install missing handwheel at P-3B discharge block.</t>
  </si>
  <si>
    <t xml:space="preserve">02011-15</t>
  </si>
  <si>
    <t xml:space="preserve">“Confirm” — verify orifice bore 3.5" per datasheet.</t>
  </si>
  <si>
    <t xml:space="preserve">02012-02</t>
  </si>
  <si>
    <t xml:space="preserve">“Platform Grating” — install missing grating at reboiler platform.</t>
  </si>
  <si>
    <t xml:space="preserve">02012-03</t>
  </si>
  <si>
    <t xml:space="preserve">“Missing” + cloud — install 2"x1" thermal PSV, set 150 PSIG.</t>
  </si>
  <si>
    <t xml:space="preserve">02012-04</t>
  </si>
  <si>
    <t xml:space="preserve">“Wire” — wire both level transmitters.</t>
  </si>
  <si>
    <t xml:space="preserve">02012-05</t>
  </si>
  <si>
    <t xml:space="preserve">“Wire” — wire temperature transmitter.</t>
  </si>
  <si>
    <t xml:space="preserve">02012-06</t>
  </si>
  <si>
    <t xml:space="preserve">“Secure” — support/secure 1" drain line.</t>
  </si>
  <si>
    <t xml:space="preserve">02012-08</t>
  </si>
  <si>
    <t xml:space="preserve">“Grout supports” — grout at containment.</t>
  </si>
  <si>
    <t xml:space="preserve">02012-09</t>
  </si>
  <si>
    <t xml:space="preserve">“Shim pipe shoes (3)” — shim three shoes at hot-oil control station.</t>
  </si>
  <si>
    <t xml:space="preserve">02012-12</t>
  </si>
  <si>
    <t xml:space="preserve">“Wire” — wire fuel-gas metering cluster.</t>
  </si>
  <si>
    <t xml:space="preserve">02013-03</t>
  </si>
  <si>
    <t xml:space="preserve">“Remove plastic/wood” — remove shipping covers from stack outlet.</t>
  </si>
  <si>
    <t xml:space="preserve">02013-04</t>
  </si>
  <si>
    <t xml:space="preserve">“Wire (By Zeeco)” — flame scanner/rod wiring to JB-101, vendor scope.</t>
  </si>
  <si>
    <t xml:space="preserve">02013-06</t>
  </si>
  <si>
    <t xml:space="preserve">“Missing wire pulled” + pink highlight — install PSV-301 (set 100 psig, vent SIZE HOLD), PG-301 + ½" MNV, full level-switch stack; terminate wiring.</t>
  </si>
  <si>
    <t xml:space="preserve">02013-09</t>
  </si>
  <si>
    <t xml:space="preserve">“14" Add” + drawn valve + pink highlight — install 14" 150# valve d/s of XV-301.</t>
  </si>
  <si>
    <t xml:space="preserve">02013-10</t>
  </si>
  <si>
    <t xml:space="preserve">“Missing wire pulled” + pink highlight — install PSV-401 (set 15 psig), PG-401, level-switch stack; terminate wiring.</t>
  </si>
  <si>
    <t xml:space="preserve">02013-11</t>
  </si>
  <si>
    <t xml:space="preserve">“Add / 3"” + drawn valve d/s of XV-401 — install 3" 150# valve.</t>
  </si>
  <si>
    <t xml:space="preserve">02013-12</t>
  </si>
  <si>
    <t xml:space="preserve">“Grout (2)” — grout two base points.</t>
  </si>
  <si>
    <t xml:space="preserve">02013-13</t>
  </si>
  <si>
    <t xml:space="preserve">“Grout” — grout base.</t>
  </si>
  <si>
    <t xml:space="preserve">02013-14</t>
  </si>
  <si>
    <t xml:space="preserve">“wire + ground” — power wiring and grounding.</t>
  </si>
  <si>
    <t xml:space="preserve">02014-01</t>
  </si>
  <si>
    <t xml:space="preserve">“Tubing” — install ¼" fuel-gas supply tubing run.</t>
  </si>
  <si>
    <t xml:space="preserve">02014-02</t>
  </si>
  <si>
    <t xml:space="preserve">“Missing Tubing” + pink highlight — install tubing PY-1001A → diffuser at condenser inlet.</t>
  </si>
  <si>
    <t xml:space="preserve">02014-04</t>
  </si>
  <si>
    <t xml:space="preserve">“Add 2" Valve (CSO)” — install at condenser vapor outlet near PSV-1100A.</t>
  </si>
  <si>
    <t xml:space="preserve">02014-05</t>
  </si>
  <si>
    <t xml:space="preserve">Red X + pink highlight — install PCV-2002A regulator (set 100 psig) with tubing (see -11).</t>
  </si>
  <si>
    <t xml:space="preserve">02014-06</t>
  </si>
  <si>
    <t xml:space="preserve">“1" Add valve” — install 1" valve in flame-arrestor branch.</t>
  </si>
  <si>
    <t xml:space="preserve">02014-07</t>
  </si>
  <si>
    <t xml:space="preserve">“3" Add valve” — install 3" valve at skid edge.</t>
  </si>
  <si>
    <t xml:space="preserve">02014-08</t>
  </si>
  <si>
    <t xml:space="preserve">“Missing” + pink highlight — install gauge glass + 2×¾" isolation, ½" vent, ½" drain valves.</t>
  </si>
  <si>
    <t xml:space="preserve">02014-09</t>
  </si>
  <si>
    <t xml:space="preserve">“plug” — plug open 1½" connection.</t>
  </si>
  <si>
    <t xml:space="preserve">02014-11</t>
  </si>
  <si>
    <t xml:space="preserve">“Missing Tubing” — install ½" tubing riser + header to ABV-1000A and ½"-PV-2054-A2.</t>
  </si>
  <si>
    <t xml:space="preserve">02014-12</t>
  </si>
  <si>
    <t xml:space="preserve">“Wire” — wire actuated 3-way valve.</t>
  </si>
  <si>
    <t xml:space="preserve">02014-13</t>
  </si>
  <si>
    <t xml:space="preserve">“Tubing” — install tubing for reset/vent circuit to B outlet.</t>
  </si>
  <si>
    <t xml:space="preserve">02014-14</t>
  </si>
  <si>
    <t xml:space="preserve">“2" Add Valve” — install 2" valve in drain to slop tank.</t>
  </si>
  <si>
    <t xml:space="preserve">02115-03</t>
  </si>
  <si>
    <t xml:space="preserve">“Remove Wood/Plastic” — remove shipping covers.</t>
  </si>
  <si>
    <t xml:space="preserve">02115-04</t>
  </si>
  <si>
    <t xml:space="preserve">“wire (By Zeeco)” — flame scanner wiring to JB-101, vendor scope.</t>
  </si>
  <si>
    <t xml:space="preserve">02115-06</t>
  </si>
  <si>
    <t xml:space="preserve">“Missing” + pink highlight — install PSV-302 (set 100 psig, vent SIZE HOLD), PG-302 + ½" MNV, level-switch stack.</t>
  </si>
  <si>
    <t xml:space="preserve">02115-08</t>
  </si>
  <si>
    <t xml:space="preserve">“Missing” — install gauge glass + 2×1" BAV isolation valves + ½" vents.</t>
  </si>
  <si>
    <t xml:space="preserve">02115-10</t>
  </si>
  <si>
    <t xml:space="preserve">“Install U-bolt” — install 14" U-bolt on vent header.</t>
  </si>
  <si>
    <t xml:space="preserve">02115-11</t>
  </si>
  <si>
    <t xml:space="preserve">“14" Add” + drawn valve d/s of XV-302 — install 14" 150# valve.</t>
  </si>
  <si>
    <t xml:space="preserve">02115-12</t>
  </si>
  <si>
    <t xml:space="preserve">“Missing” + pink highlight — install PSV-402 (set 15 psig) + level-switch stack.</t>
  </si>
  <si>
    <t xml:space="preserve">02115-13</t>
  </si>
  <si>
    <t xml:space="preserve">“3" Add” + drawn valve d/s of XV-402 — install 3" 150# valve.</t>
  </si>
  <si>
    <t xml:space="preserve">02115-14</t>
  </si>
  <si>
    <t xml:space="preserve">“wire (pulled)” — terminate TE-402/403 (TAHH @ 250°F).</t>
  </si>
  <si>
    <t xml:space="preserve">02115-15</t>
  </si>
  <si>
    <t xml:space="preserve">“Install 1" IA Plug This Area” — locate open IA connection, install 1" plug.</t>
  </si>
  <si>
    <t xml:space="preserve">02115-16</t>
  </si>
  <si>
    <t xml:space="preserve">02115-17</t>
  </si>
  <si>
    <t xml:space="preserve">02115-18</t>
  </si>
  <si>
    <t xml:space="preserve">“Wire + Ground” — power wiring and grounding.</t>
  </si>
  <si>
    <t xml:space="preserve">02015A-01</t>
  </si>
  <si>
    <t xml:space="preserve">“Wire” — wire inlet temperature loop.</t>
  </si>
  <si>
    <t xml:space="preserve">02015A-02</t>
  </si>
  <si>
    <t xml:space="preserve">“Wire” — wire control thermocouple (TIC-27002A loop).</t>
  </si>
  <si>
    <t xml:space="preserve">02015A-04</t>
  </si>
  <si>
    <t xml:space="preserve">“Missing PI, Requires Tap on 8"” — hot-tap/weld ½" threadolet on 8" outlet line for the PI. (with -03)</t>
  </si>
  <si>
    <t xml:space="preserve">02015A-05</t>
  </si>
  <si>
    <t xml:space="preserve">“Torque (By Sigma Thermal ?)” — torque three 4" 300# orifice-flange sets; confirm responsibility. (Eng. Question Q8)</t>
  </si>
  <si>
    <t xml:space="preserve">02015A-06</t>
  </si>
  <si>
    <t xml:space="preserve">“Grout + ground” — grout base, install grounding.</t>
  </si>
  <si>
    <t xml:space="preserve">02015A-07</t>
  </si>
  <si>
    <t xml:space="preserve">“Shim Blow Motor &amp; Remove straps” — shim motor, remove shipping straps.</t>
  </si>
  <si>
    <t xml:space="preserve">02015A-08</t>
  </si>
  <si>
    <t xml:space="preserve">“Missing 2" seal off cover” — install.</t>
  </si>
  <si>
    <t xml:space="preserve">02015A-09</t>
  </si>
  <si>
    <t xml:space="preserve">“Remove instrumentation plastic” — remove shipping wrap.</t>
  </si>
  <si>
    <t xml:space="preserve">02015A-10</t>
  </si>
  <si>
    <t xml:space="preserve">“Missing 2-1" &amp; 2-2" electrical Covers” — install two 1" and two 2" covers.</t>
  </si>
  <si>
    <t xml:space="preserve">02015A-11</t>
  </si>
  <si>
    <t xml:space="preserve">“Bolt up Blower 8" (by Sigma Thermal ? Need Garlock gasket)” — bolt up; procure 8" Garlock gasket; confirm responsibility. (Eng. Question Q8)</t>
  </si>
  <si>
    <t xml:space="preserve">02015A-12</t>
  </si>
  <si>
    <t xml:space="preserve">Pink highlight on “SHIPPED LOOSE BY SIGMA THERMAL AND INSTALLED IN PIPING BY MPLX” — locate all shipped-loose items and install.</t>
  </si>
  <si>
    <t xml:space="preserve">02015B-01</t>
  </si>
  <si>
    <t xml:space="preserve">Red tick at tee — marks tap point for 1" side-stream supply (see -02).</t>
  </si>
  <si>
    <t xml:space="preserve">02015C-04</t>
  </si>
  <si>
    <t xml:space="preserve">“Confirm” — verify set 25 PSIG.</t>
  </si>
  <si>
    <t xml:space="preserve">02015C-05</t>
  </si>
  <si>
    <t xml:space="preserve">“Wire” — wire low-level interlock (wiring by MPLX, Note 6).</t>
  </si>
  <si>
    <t xml:space="preserve">02015D-01</t>
  </si>
  <si>
    <t xml:space="preserve">“Missing (see 2015C)” + pink highlight — install fuel-gas blanket branch off 3"-GH-7008-A2 (pairs with 02015C-01/-02).</t>
  </si>
  <si>
    <t xml:space="preserve">MERGED — duplicate of 02015C-02</t>
  </si>
  <si>
    <t xml:space="preserve">02016-01</t>
  </si>
  <si>
    <t xml:space="preserve">“upsize to 1" and/or support” — upsize condensate line to 1" and/or add supports; engineering to confirm. (Eng. Question Q11)</t>
  </si>
  <si>
    <t xml:space="preserve">02016-02</t>
  </si>
  <si>
    <t xml:space="preserve">“Add” + drawn valve before drop to N4 — install isolation valve.</t>
  </si>
  <si>
    <t xml:space="preserve">02016-04</t>
  </si>
  <si>
    <t xml:space="preserve">“Install” — install pressure indicator.</t>
  </si>
  <si>
    <t xml:space="preserve">02016-05</t>
  </si>
  <si>
    <t xml:space="preserve">“3" Add” + drawn valve — install 3" valve on vent header drop.</t>
  </si>
  <si>
    <t xml:space="preserve">02016-06</t>
  </si>
  <si>
    <t xml:space="preserve">“Add” — install external level-gauge bridle: standpipe, gauge, ½" top + ½" bottom isolation valves.</t>
  </si>
  <si>
    <t xml:space="preserve">02016-07</t>
  </si>
  <si>
    <t xml:space="preserve">“Delete” + hatched cloud — remove from scope (with ¾" nozzle).</t>
  </si>
  <si>
    <t xml:space="preserve">02016-08</t>
  </si>
  <si>
    <t xml:space="preserve">Hatched cloud — delete (replaced by external bridle -06).</t>
  </si>
  <si>
    <t xml:space="preserve">02016-09</t>
  </si>
  <si>
    <t xml:space="preserve">Hatched cloud over small capped fitting — delete.</t>
  </si>
  <si>
    <t xml:space="preserve">02016-10</t>
  </si>
  <si>
    <t xml:space="preserve">Red-drawn 2" line: “Elevate, Keep within Containment, Add Truck Connection” — install elevated 2" truck-out w/ 2" valve + capped truck connection.</t>
  </si>
  <si>
    <t xml:space="preserve">02016-11</t>
  </si>
  <si>
    <t xml:space="preserve">“Missing” + pink highlight — install level gauge (½"×½").</t>
  </si>
  <si>
    <t xml:space="preserve">02016-12</t>
  </si>
  <si>
    <t xml:space="preserve">Red-drawn pump-out w/ “½"x2"” swage: “Elevate &amp; Keep within Containment” — install per sketch (2" pipe, valve, cap).</t>
  </si>
  <si>
    <t xml:space="preserve">03001-01</t>
  </si>
  <si>
    <t xml:space="preserve">“Add Isolation Valves” — install ¾" isolation valve at top connection.</t>
  </si>
  <si>
    <t xml:space="preserve">03001-02</t>
  </si>
  <si>
    <t xml:space="preserve">Same note — install ¾" isolation valve at bottom connection.</t>
  </si>
  <si>
    <t xml:space="preserve">03001-04</t>
  </si>
  <si>
    <t xml:space="preserve">Printed bore struck; red “0.1505"” — orifice bore 0.1505"; procure/verify plate.</t>
  </si>
  <si>
    <t xml:space="preserve">03001-06</t>
  </si>
  <si>
    <t xml:space="preserve">“Secure” — secure/support atmospheric vent stack (SIZE HOLD noted).</t>
  </si>
  <si>
    <t xml:space="preserve">03001-07</t>
  </si>
  <si>
    <t xml:space="preserve">“Add Isolation Valves” — install ¾" isolation valve at upper tap.</t>
  </si>
  <si>
    <t xml:space="preserve">03001-08</t>
  </si>
  <si>
    <t xml:space="preserve">Same note — install ¾" isolation valve at lower tap (nozzle G).</t>
  </si>
  <si>
    <t xml:space="preserve">03001-09</t>
  </si>
  <si>
    <t xml:space="preserve">03001-13</t>
  </si>
  <si>
    <t xml:space="preserve">Bore struck; red “0.1505"” — orifice bore 0.1505"; procure/verify plate.</t>
  </si>
  <si>
    <t xml:space="preserve">03001-14</t>
  </si>
  <si>
    <t xml:space="preserve">Red-drawn IA detail: 1" plugged tee valve + “plug”, 1" end valve — install per sketch.</t>
  </si>
  <si>
    <t xml:space="preserve">03001-15</t>
  </si>
  <si>
    <t xml:space="preserve">“U-bolt” — install U-bolt supports on IA supply run.</t>
  </si>
  <si>
    <t xml:space="preserve">03002-01</t>
  </si>
  <si>
    <t xml:space="preserve">“Confirm” — verify set 1440 PSIG (E orifice).</t>
  </si>
  <si>
    <t xml:space="preserve">03002-03</t>
  </si>
  <si>
    <t xml:space="preserve">“Missing / Need RO + FIT / Wire pulled” + pink highlight — install orifice plate + FIT-1240A; terminate pulled wire.</t>
  </si>
  <si>
    <t xml:space="preserve">03002-04</t>
  </si>
  <si>
    <t xml:space="preserve">“Wire” — wire temperature element.</t>
  </si>
  <si>
    <t xml:space="preserve">03002-06</t>
  </si>
  <si>
    <t xml:space="preserve">“Add valve” — install ½" gauge isolation valve.</t>
  </si>
  <si>
    <t xml:space="preserve">03002-07</t>
  </si>
  <si>
    <t xml:space="preserve">“Torque” — torque manway.</t>
  </si>
  <si>
    <t xml:space="preserve">03002-08</t>
  </si>
  <si>
    <t xml:space="preserve">“Hookup (Wire or Tubing?)” — complete hookup; engineering to confirm electric vs pneumatic. (Eng. Question Q14)</t>
  </si>
  <si>
    <t xml:space="preserve">03002-09</t>
  </si>
  <si>
    <t xml:space="preserve">“Add Isolation valves” — install ¾" valve, upper connection.</t>
  </si>
  <si>
    <t xml:space="preserve">03002-10</t>
  </si>
  <si>
    <t xml:space="preserve">Same — install ¾" valve, lower connection.</t>
  </si>
  <si>
    <t xml:space="preserve">03002-11</t>
  </si>
  <si>
    <t xml:space="preserve">“Do we Need this platform?” — RFI to engineering on service platform. (Eng. Question Q15)</t>
  </si>
  <si>
    <t xml:space="preserve">03002-12</t>
  </si>
  <si>
    <t xml:space="preserve">03002-13</t>
  </si>
  <si>
    <t xml:space="preserve">“XX” bore struck; red “0.7394"” — orifice bore 0.7394"; procure/verify plate.</t>
  </si>
  <si>
    <t xml:space="preserve">03002-14</t>
  </si>
  <si>
    <t xml:space="preserve">Same — bore 0.7394"; procure/verify plate.</t>
  </si>
  <si>
    <t xml:space="preserve">03002-15</t>
  </si>
  <si>
    <t xml:space="preserve">“1" Add valve (CSO)” — install 1" CSO valve on PSV-3001 vent to catch tank.</t>
  </si>
  <si>
    <t xml:space="preserve">03002-16</t>
  </si>
  <si>
    <t xml:space="preserve">“Add ½" bleed valve (CSO)” — install at 1" CSO isolation (SIZE HOLD noted).</t>
  </si>
  <si>
    <t xml:space="preserve">03002-17</t>
  </si>
  <si>
    <t xml:space="preserve">Red cloud over analyzer package + arc to 16" corner — complete GC package hookup (with -18).</t>
  </si>
  <si>
    <t xml:space="preserve">03002-18</t>
  </si>
  <si>
    <t xml:space="preserve">“Missing Tap + Tubing” — install analyzer probe tap (GENIE probe) + sample tubing to GC.</t>
  </si>
  <si>
    <t xml:space="preserve">03003-01</t>
  </si>
  <si>
    <t xml:space="preserve">HAY-PID-03003</t>
  </si>
  <si>
    <t xml:space="preserve">“Missing” + pink highlight — install thermowell + temperature indicator.</t>
  </si>
  <si>
    <t xml:space="preserve">03003-02</t>
  </si>
  <si>
    <t xml:space="preserve">“plug” — install 1" plug in BTEX vapour glow plug connection.</t>
  </si>
  <si>
    <t xml:space="preserve">03003-03</t>
  </si>
  <si>
    <t xml:space="preserve">“Add Isolation Valves” — install both 1"x½" gauge isolation valves.</t>
  </si>
  <si>
    <t xml:space="preserve">03004-02</t>
  </si>
  <si>
    <t xml:space="preserve">“Add Isolation valves” — install both ½" tubing-gauge isolation valves.</t>
  </si>
  <si>
    <t xml:space="preserve">03004-03</t>
  </si>
  <si>
    <t xml:space="preserve">“Add Isolation Valves” — install both isolation valves.</t>
  </si>
  <si>
    <t xml:space="preserve">03004-04</t>
  </si>
  <si>
    <t xml:space="preserve">“Add valve. (CSO)” “1"” — install 1" CSO valve on charcoal-filter PSV discharge (set 125 psig).</t>
  </si>
  <si>
    <t xml:space="preserve">03004-05</t>
  </si>
  <si>
    <t xml:space="preserve">“Add Valve (CSO)” “1"” — install 1" CSO valve on sock-filter PSV discharge.</t>
  </si>
  <si>
    <t xml:space="preserve">03004-07</t>
  </si>
  <si>
    <t xml:space="preserve">“Add valve (CSO)” “1"” — install 1" CSO valve on PSV-1400 discharge.</t>
  </si>
  <si>
    <t xml:space="preserve">03004-08</t>
  </si>
  <si>
    <t xml:space="preserve">“1½" Add Valve” — install 1½" isolation valve at Cimarron/MPLX scope break (rich glycol).</t>
  </si>
  <si>
    <t xml:space="preserve">03004-09</t>
  </si>
  <si>
    <t xml:space="preserve">“1½" Add Valve” — install 1½" isolation valve at scope break (lean glycol).</t>
  </si>
  <si>
    <t xml:space="preserve">04001-01</t>
  </si>
  <si>
    <t xml:space="preserve">“Wire” — wire level transmitter + switch.</t>
  </si>
  <si>
    <t xml:space="preserve">04001-02</t>
  </si>
  <si>
    <t xml:space="preserve">“Wire” — wire.</t>
  </si>
  <si>
    <t xml:space="preserve">04001-03</t>
  </si>
  <si>
    <t xml:space="preserve">04001-04</t>
  </si>
  <si>
    <t xml:space="preserve">04001-11</t>
  </si>
  <si>
    <t xml:space="preserve">“Remove wood” — remove dunnage from containment.</t>
  </si>
  <si>
    <t xml:space="preserve">04001-12</t>
  </si>
  <si>
    <t xml:space="preserve">“Wire” — wire ESD valve solenoid + position switches.</t>
  </si>
  <si>
    <t xml:space="preserve">04001-13</t>
  </si>
  <si>
    <t xml:space="preserve">“Ground All Tanks” — ground/bond TK-41001–41004.</t>
  </si>
  <si>
    <t xml:space="preserve">04001-14</t>
  </si>
  <si>
    <t xml:space="preserve">“Missing” — supply &amp; install grounding station assembly.</t>
  </si>
  <si>
    <t xml:space="preserve">04001-15</t>
  </si>
  <si>
    <t xml:space="preserve">“Install Enviro Box” — install environmental containment box at 4" valve/spec-blind station.</t>
  </si>
  <si>
    <t xml:space="preserve">07001-04</t>
  </si>
  <si>
    <t xml:space="preserve">Red “1"” + magenta — install/upsize drain train to 1".</t>
  </si>
  <si>
    <t xml:space="preserve">07001-08</t>
  </si>
  <si>
    <t xml:space="preserve">Red “1"” — upsize drain train to 1".</t>
  </si>
  <si>
    <t xml:space="preserve">07001-12</t>
  </si>
  <si>
    <t xml:space="preserve">07001-13</t>
  </si>
  <si>
    <t xml:space="preserve">“Missing plugs” — install NPT plugs in open spare nozzles.</t>
  </si>
  <si>
    <t xml:space="preserve">07001-14</t>
  </si>
  <si>
    <t xml:space="preserve">“Missing” + large cloud — install COMPLETE relief station: PSV-7002 (1"x2", set 121 psig), 2" CSO block, 2"x1" reducer, ½" bleed, vent pipe.</t>
  </si>
  <si>
    <t xml:space="preserve">07001-15</t>
  </si>
  <si>
    <t xml:space="preserve">“Missing” — install four missing ½" valves at regulator manifold (set 110 psig).</t>
  </si>
  <si>
    <t xml:space="preserve">07001-16</t>
  </si>
  <si>
    <t xml:space="preserve">“3" U-bolt” — install at air distribution flag.</t>
  </si>
  <si>
    <t xml:space="preserve">07001-17</t>
  </si>
  <si>
    <t xml:space="preserve">“Ground 3 Vessels + Building” — install grounding.</t>
  </si>
  <si>
    <t xml:space="preserve">07001-18</t>
  </si>
  <si>
    <t xml:space="preserve">“Missing ½" Tubing” + magenta — install tubing: skid boundary to timer drains, below VS-70004, and to TK-70001 hookup.</t>
  </si>
  <si>
    <t xml:space="preserve">07001-19</t>
  </si>
  <si>
    <t xml:space="preserve">Red cloud + strikes over “HOSE CONNECTION”/2" valve/2"-IA-7042-L2 — remove hose connection; update drawing.</t>
  </si>
  <si>
    <t xml:space="preserve">07001-20</t>
  </si>
  <si>
    <t xml:space="preserve">“Missing” + magenta — install level gauge + two 1" isolation valves.</t>
  </si>
  <si>
    <t xml:space="preserve">07001-21</t>
  </si>
  <si>
    <t xml:space="preserve">“Elevate &amp; Keep Within Containment” “2"” — install elevated 2" line w/ valve, end hook inside containment.</t>
  </si>
  <si>
    <t xml:space="preserve">07001-22</t>
  </si>
  <si>
    <t xml:space="preserve">Red “1X2” + drawn expander at containment boundary — install 1"x2" swage.</t>
  </si>
  <si>
    <t xml:space="preserve">07002-01</t>
  </si>
  <si>
    <t xml:space="preserve">“Add Support @ Double 90°” — install pipe support at vertical double-elbow drop (near PI/PCV-7101/7102).</t>
  </si>
  <si>
    <t xml:space="preserve">07002-02</t>
  </si>
  <si>
    <t xml:space="preserve">Red cloud + “✱✱” — all four methanol pumps flagged; see Q7 (meaning of asterisks to be confirmed).</t>
  </si>
  <si>
    <t xml:space="preserve">07002-03</t>
  </si>
  <si>
    <t xml:space="preserve">Red “✱” at discharge assembly — pump flagged for attention (Q7).</t>
  </si>
  <si>
    <t xml:space="preserve">07002-04</t>
  </si>
  <si>
    <t xml:space="preserve">Red “✱” — flagged (Q7).</t>
  </si>
  <si>
    <t xml:space="preserve">07002-05</t>
  </si>
  <si>
    <t xml:space="preserve">07002-06</t>
  </si>
  <si>
    <t xml:space="preserve">07002-07</t>
  </si>
  <si>
    <t xml:space="preserve">Cloud: “Connect, IA Currently Hooked up Here” — instrument air is wrongly connected to the methanol inlet port; remove IA, connect methanol supply. Cross-connection hazard.</t>
  </si>
  <si>
    <t xml:space="preserve">07002-08</t>
  </si>
  <si>
    <t xml:space="preserve">“Connect + support OVHD 1" IA” — run and support 1" overhead instrument-air line to the skid (correct IA landing).</t>
  </si>
  <si>
    <t xml:space="preserve">07002-09</t>
  </si>
  <si>
    <t xml:space="preserve">Red “✱✱” at header — cross-reference flag (with -02/-08); confirm intent.</t>
  </si>
  <si>
    <t xml:space="preserve">07003-01</t>
  </si>
  <si>
    <t xml:space="preserve">“Missing” + pink highlight — install PSV vent tailpipe TO ATM (SIZE HOLD — engineering to release).</t>
  </si>
  <si>
    <t xml:space="preserve">07003-02</t>
  </si>
  <si>
    <t xml:space="preserve">“Confirm” — verify set 275 PSIG (fire, 1D2).</t>
  </si>
  <si>
    <t xml:space="preserve">07003-03</t>
  </si>
  <si>
    <t xml:space="preserve">“Add support” — support 2" inlet line.</t>
  </si>
  <si>
    <t xml:space="preserve">07003-04</t>
  </si>
  <si>
    <t xml:space="preserve">“Add Support (2)” — two supports upstream of N1.</t>
  </si>
  <si>
    <t xml:space="preserve">07003-10</t>
  </si>
  <si>
    <t xml:space="preserve">“XX” struck; red “0.1031"” — orifice bore 0.1031"; procure/verify plate.</t>
  </si>
  <si>
    <t xml:space="preserve">07003-11</t>
  </si>
  <si>
    <t xml:space="preserve">Same — bore 0.1031"; procure/verify plate.</t>
  </si>
  <si>
    <t xml:space="preserve">07003-12</t>
  </si>
  <si>
    <t xml:space="preserve">“wire” — wire meter-run instrumentation (heated enclosure).</t>
  </si>
  <si>
    <t xml:space="preserve">07003-13</t>
  </si>
  <si>
    <t xml:space="preserve">“Install Platform” — access platform.</t>
  </si>
  <si>
    <t xml:space="preserve">07004-03</t>
  </si>
  <si>
    <t xml:space="preserve">“1" Add” + drawn valve at battery limit — install 1" valve.</t>
  </si>
  <si>
    <t xml:space="preserve">07004-04</t>
  </si>
  <si>
    <t xml:space="preserve">“Add 1" Valve” — install 1" IA isolation valve.</t>
  </si>
  <si>
    <t xml:space="preserve">07004-05</t>
  </si>
  <si>
    <t xml:space="preserve">“1" Add” + drawn valve at PRO GAS | MPLX boundary — install 1" valve.</t>
  </si>
  <si>
    <t xml:space="preserve">07004-06</t>
  </si>
  <si>
    <t xml:space="preserve">“Add 2"” + drawn valve at A2AS|F2AS spec break — install 2" valve.</t>
  </si>
  <si>
    <t xml:space="preserve">07004-08</t>
  </si>
  <si>
    <t xml:space="preserve">“Installed Backwards” — check valve at F2|F2AS break is reversed; reinstall in correct flow direction.</t>
  </si>
  <si>
    <t xml:space="preserve">07004-09</t>
  </si>
  <si>
    <t xml:space="preserve">“Add support” — install 2" pipe support at MPLX|PRO GAS boundary.</t>
  </si>
  <si>
    <t xml:space="preserve">07004-14</t>
  </si>
  <si>
    <t xml:space="preserve">“support @ P.R.” — install support at pressure-reducing station.</t>
  </si>
  <si>
    <t xml:space="preserve">07004-15</t>
  </si>
  <si>
    <t xml:space="preserve">“Secure 1" IA pipe + Wire + Tubing” — secure IA pipe; complete wiring &amp; tubing at ESD group.</t>
  </si>
  <si>
    <t xml:space="preserve">07004-16</t>
  </si>
  <si>
    <t xml:space="preserve">“U/G” + arc upstream of outlet-header flag — record underground routing (mate of 01001-38).</t>
  </si>
  <si>
    <t xml:space="preserve">07005-01</t>
  </si>
  <si>
    <t xml:space="preserve">HAY-PID-07005</t>
  </si>
  <si>
    <t xml:space="preserve">“Ground” — install tank grounding/bonding (flammable service).</t>
  </si>
  <si>
    <t xml:space="preserve">07005-02</t>
  </si>
  <si>
    <t xml:space="preserve">“support” — add pipe support(s) at mid-span of long 1" methanol run.</t>
  </si>
  <si>
    <t xml:space="preserve">07005-03</t>
  </si>
  <si>
    <t xml:space="preserve">Cloud: “Connect to JT Skid” — tie methanol line in at JT skid (companion of 07002-07).</t>
  </si>
  <si>
    <t xml:space="preserve">07006-01</t>
  </si>
  <si>
    <t xml:space="preserve">HAY-PID-07006</t>
  </si>
  <si>
    <t xml:space="preserve">“Missing” + pink highlight — install PSV-7006 (PCV-failure case, SIZE HOLD) + vent to ATM.</t>
  </si>
  <si>
    <t xml:space="preserve">07006-02</t>
  </si>
  <si>
    <t xml:space="preserve">“U/G” — record underground takeoff (Note 3).</t>
  </si>
  <si>
    <t xml:space="preserve">07006-03</t>
  </si>
  <si>
    <t xml:space="preserve">“Add Valve” — install 3" valve at Y-strainer assembly.</t>
  </si>
  <si>
    <t xml:space="preserve">07006-04</t>
  </si>
  <si>
    <t xml:space="preserve">“U/G” — record underground segment.</t>
  </si>
  <si>
    <t xml:space="preserve">07006-05</t>
  </si>
  <si>
    <t xml:space="preserve">“U/G” — record underground takeoff.</t>
  </si>
  <si>
    <t xml:space="preserve">07006-06</t>
  </si>
  <si>
    <t xml:space="preserve">“Add valve” — install 3" valve at Y-strainer.</t>
  </si>
  <si>
    <t xml:space="preserve">07006-07</t>
  </si>
  <si>
    <t xml:space="preserve">07006-08</t>
  </si>
  <si>
    <t xml:space="preserve">“Add Valve” — install 3" valve at Y-strainer.</t>
  </si>
  <si>
    <t xml:space="preserve">08001-01</t>
  </si>
  <si>
    <t xml:space="preserve">HAY-PID-08001</t>
  </si>
  <si>
    <t xml:space="preserve">“support” — install pipe support on 2" heat-traced discharge line.</t>
  </si>
  <si>
    <t xml:space="preserve">08002-01</t>
  </si>
  <si>
    <t xml:space="preserve">HAY-PID-08002</t>
  </si>
  <si>
    <t xml:space="preserve">“support” — install 2" pipe support.</t>
  </si>
  <si>
    <t xml:space="preserve">08003-01</t>
  </si>
  <si>
    <t xml:space="preserve">HAY-PID-08003</t>
  </si>
  <si>
    <t xml:space="preserve">08004-01</t>
  </si>
  <si>
    <t xml:space="preserve">HAY-PID-08004</t>
  </si>
  <si>
    <t xml:space="preserve">“Delete” + large hatched cloud — remove/do-not-install entire truck-unload fill line incl. 2" check, 2" ball valve, truck connection, 2"x3" roof fill.</t>
  </si>
  <si>
    <t xml:space="preserve">08004-02</t>
  </si>
  <si>
    <t xml:space="preserve">“Missing” + red-drawn gauge column — install external level gauge with 1" top &amp; bottom isolation valves.</t>
  </si>
  <si>
    <t xml:space="preserve">08004-03</t>
  </si>
  <si>
    <t xml:space="preserve">“Delete” + cloud — remove existing 3" bottom outlet valve assembly.</t>
  </si>
  <si>
    <t xml:space="preserve">08004-04</t>
  </si>
  <si>
    <t xml:space="preserve">Red-drawn replacement: 2" header off bottom outlet w/ 2" break, 2" valve, hose/truck-fill stub, LG tie-in (1" valve), and new 1" suction run to P-81010 — install per sketch; verify fitting types in field.</t>
  </si>
  <si>
    <t xml:space="preserve">08004-05</t>
  </si>
  <si>
    <t xml:space="preserve">“Delete” + cloud — remove/do-not-install old heat-traced suction line (superseded by -04).</t>
  </si>
  <si>
    <t xml:space="preserve">08005-01</t>
  </si>
  <si>
    <t xml:space="preserve">“Tubing” — run air-supply tubing from 2" valve (PCV-8401 station) to pump air inlet.</t>
  </si>
  <si>
    <t xml:space="preserve">08005-02</t>
  </si>
  <si>
    <t xml:space="preserve">“Missing” + red oval — install 2" check valve downstream of discharge flex.</t>
  </si>
  <si>
    <t xml:space="preserve">08005-03</t>
  </si>
  <si>
    <t xml:space="preserve">“support” — install pipe support mid-run (heat-traced).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</si>
</sst>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4A66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C4A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EBE4"/>
          <bgColor rgb="FF000000"/>
        </patternFill>
      </fill>
    </dxf>
    <dxf>
      <fill>
        <patternFill patternType="solid">
          <fgColor rgb="FFF3E8D3"/>
          <bgColor rgb="FF000000"/>
        </patternFill>
      </fill>
    </dxf>
    <dxf>
      <fill>
        <patternFill patternType="solid">
          <fgColor rgb="FFF6E0DC"/>
          <bgColor rgb="FF000000"/>
        </patternFill>
      </fill>
    </dxf>
    <dxf>
      <fill>
        <patternFill patternType="solid">
          <fgColor rgb="FF8E2A1F"/>
          <bgColor rgb="FF000000"/>
        </patternFill>
      </fill>
    </dxf>
    <dxf>
      <font>
        <name val="Arial"/>
        <charset val="1"/>
        <family val="0"/>
        <b val="1"/>
        <color rgb="FF8E2A1F"/>
        <sz val="10"/>
      </font>
      <fill>
        <patternFill>
          <bgColor rgb="FFF6E0DC"/>
        </patternFill>
      </fill>
    </dxf>
    <dxf>
      <fill>
        <patternFill>
          <bgColor rgb="FFF3E8D3"/>
        </patternFill>
      </fill>
    </dxf>
    <dxf>
      <fill>
        <patternFill>
          <bgColor rgb="FFE3EBE4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3E8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BE4"/>
      <rgbColor rgb="FFFFFF99"/>
      <rgbColor rgb="FF99CCFF"/>
      <rgbColor rgb="FFFF99CC"/>
      <rgbColor rgb="FFCC99FF"/>
      <rgbColor rgb="FFF6E0D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E2A1F"/>
      <rgbColor rgb="FF993366"/>
      <rgbColor rgb="FF2C4A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12"/>
    <col collapsed="false" customWidth="true" hidden="false" outlineLevel="0" max="3" min="3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40</v>
      </c>
    </row>
    <row r="5" customFormat="false" ht="15" hidden="false" customHeight="true" outlineLevel="0" collapsed="false">
      <c r="A5" s="4" t="s">
        <v>3</v>
      </c>
      <c r="B5" s="5" t="n">
        <f aca="false">COUNTA('Punch List (All)'!A2:A100000)</f>
        <v>137</v>
      </c>
    </row>
    <row r="6" customFormat="false" ht="15" hidden="false" customHeight="true" outlineLevel="0" collapsed="false">
      <c r="A6" s="4" t="s">
        <v>4</v>
      </c>
      <c r="B6" s="5" t="n">
        <f aca="false">COUNTIF('Punch List (All)'!I:I,"CRITICAL")</f>
        <v>15</v>
      </c>
    </row>
    <row r="7" customFormat="false" ht="15" hidden="false" customHeight="true" outlineLevel="0" collapsed="false">
      <c r="A7" s="4" t="s">
        <v>5</v>
      </c>
      <c r="B7" s="5" t="n">
        <f aca="false">COUNTIF('Punch List (All)'!I:I,"HIGH")</f>
        <v>97</v>
      </c>
    </row>
    <row r="8" customFormat="false" ht="15" hidden="false" customHeight="true" outlineLevel="0" collapsed="false">
      <c r="A8" s="4" t="s">
        <v>6</v>
      </c>
      <c r="B8" s="5" t="n">
        <f aca="false">COUNTIF('Punch List (All)'!I:I,"MED")</f>
        <v>21</v>
      </c>
    </row>
    <row r="9" customFormat="false" ht="15" hidden="false" customHeight="true" outlineLevel="0" collapsed="false">
      <c r="A9" s="4" t="s">
        <v>7</v>
      </c>
      <c r="B9" s="5" t="n">
        <f aca="false">COUNTIF('Punch List (All)'!I:I,"LOW")</f>
        <v>4</v>
      </c>
    </row>
    <row r="10" customFormat="false" ht="15" hidden="false" customHeight="true" outlineLevel="0" collapsed="false">
      <c r="A10" s="4" t="s">
        <v>8</v>
      </c>
      <c r="B10" s="5" t="n">
        <f aca="false">COUNTA('Disposition (Rev 0 closed)'!A2:A100000)</f>
        <v>295</v>
      </c>
    </row>
    <row r="11" customFormat="false" ht="15" hidden="false" customHeight="true" outlineLevel="0" collapsed="false">
      <c r="A11" s="4" t="s">
        <v>9</v>
      </c>
      <c r="B11" s="5" t="n">
        <f aca="false">COUNTA('BOM - Open Items'!B2:B100000)</f>
        <v>38</v>
      </c>
    </row>
    <row r="12" customFormat="false" ht="15" hidden="false" customHeight="true" outlineLevel="0" collapsed="false">
      <c r="A12" s="4" t="s">
        <v>10</v>
      </c>
      <c r="B12" s="5" t="n">
        <f aca="false">COUNTA('Engineering Questions'!A2:A100000)</f>
        <v>10</v>
      </c>
    </row>
    <row r="13" customFormat="false" ht="15" hidden="false" customHeight="true" outlineLevel="0" collapsed="false">
      <c r="A13" s="4" t="s">
        <v>11</v>
      </c>
      <c r="B13" s="5" t="n">
        <f aca="false">COUNTIF(Piping!J:J,"Closed")+COUNTIF(Mechanical!J:J,"Closed")+COUNTIF('I&amp;E'!J:J,"Closed")+COUNTIF(Engineering!J:J,"Closed")+COUNTIF(Vendor!J:J,"Closed")</f>
        <v>0</v>
      </c>
    </row>
    <row r="14" customFormat="false" ht="15" hidden="false" customHeight="true" outlineLevel="0" collapsed="false">
      <c r="A14" s="4" t="s">
        <v>12</v>
      </c>
      <c r="B14" s="5" t="n">
        <f aca="false">B5-B13</f>
        <v>137</v>
      </c>
    </row>
    <row r="16" customFormat="false" ht="15" hidden="false" customHeight="true" outlineLevel="0" collapsed="false">
      <c r="A16" s="6" t="s">
        <v>13</v>
      </c>
      <c r="B16" s="4" t="s">
        <v>14</v>
      </c>
      <c r="C16" s="4" t="s">
        <v>15</v>
      </c>
    </row>
    <row r="17" customFormat="false" ht="15" hidden="false" customHeight="true" outlineLevel="0" collapsed="false">
      <c r="A17" s="4" t="s">
        <v>16</v>
      </c>
      <c r="B17" s="5" t="n">
        <f aca="false">COUNTA(Piping!A2:A100000)</f>
        <v>89</v>
      </c>
      <c r="C17" s="5" t="n">
        <f aca="false">COUNTIF(Piping!J:J,"Closed")</f>
        <v>0</v>
      </c>
    </row>
    <row r="18" customFormat="false" ht="15" hidden="false" customHeight="true" outlineLevel="0" collapsed="false">
      <c r="A18" s="4" t="s">
        <v>17</v>
      </c>
      <c r="B18" s="5" t="n">
        <f aca="false">COUNTA(Mechanical!A2:A100000)</f>
        <v>1</v>
      </c>
      <c r="C18" s="5" t="n">
        <f aca="false">COUNTIF(Mechanical!J:J,"Closed")</f>
        <v>0</v>
      </c>
    </row>
    <row r="19" customFormat="false" ht="15" hidden="false" customHeight="true" outlineLevel="0" collapsed="false">
      <c r="A19" s="4" t="s">
        <v>18</v>
      </c>
      <c r="B19" s="5" t="n">
        <f aca="false">COUNTA('I&amp;E'!A2:A100000)</f>
        <v>23</v>
      </c>
      <c r="C19" s="5" t="n">
        <f aca="false">COUNTIF('I&amp;E'!J:J,"Closed")</f>
        <v>0</v>
      </c>
    </row>
    <row r="20" customFormat="false" ht="15" hidden="false" customHeight="true" outlineLevel="0" collapsed="false">
      <c r="A20" s="4" t="s">
        <v>19</v>
      </c>
      <c r="B20" s="5" t="n">
        <f aca="false">COUNTA(Engineering!A2:A100000)</f>
        <v>23</v>
      </c>
      <c r="C20" s="5" t="n">
        <f aca="false">COUNTIF(Engineering!J:J,"Closed")</f>
        <v>0</v>
      </c>
    </row>
    <row r="21" customFormat="false" ht="15" hidden="false" customHeight="true" outlineLevel="0" collapsed="false">
      <c r="A21" s="4" t="s">
        <v>20</v>
      </c>
      <c r="B21" s="5" t="n">
        <f aca="false">COUNTA(Vendor!A2:A100000)</f>
        <v>1</v>
      </c>
      <c r="C21" s="5" t="n">
        <f aca="false">COUNTIF(Vendor!J:J,"Closed")</f>
        <v>0</v>
      </c>
    </row>
    <row r="23" customFormat="false" ht="15" hidden="false" customHeight="true" outlineLevel="0" collapsed="false">
      <c r="A23" s="6" t="s">
        <v>21</v>
      </c>
    </row>
    <row r="24" customFormat="false" ht="23.25" hidden="false" customHeight="true" outlineLevel="0" collapsed="false">
      <c r="A24" s="7" t="s">
        <v>22</v>
      </c>
    </row>
    <row r="25" customFormat="false" ht="23.25" hidden="false" customHeight="true" outlineLevel="0" collapsed="false">
      <c r="A25" s="7" t="s">
        <v>23</v>
      </c>
    </row>
    <row r="26" customFormat="false" ht="15" hidden="false" customHeight="true" outlineLevel="0" collapsed="false">
      <c r="A26" s="7" t="s">
        <v>24</v>
      </c>
    </row>
    <row r="27" customFormat="false" ht="15" hidden="false" customHeight="true" outlineLevel="0" collapsed="false">
      <c r="A27" s="7" t="s">
        <v>25</v>
      </c>
    </row>
    <row r="28" customFormat="false" ht="15" hidden="false" customHeight="true" outlineLevel="0" collapsed="false">
      <c r="A28" s="7" t="s">
        <v>26</v>
      </c>
    </row>
    <row r="30" customFormat="false" ht="15" hidden="false" customHeight="false" outlineLevel="0" collapsed="false">
      <c r="A30" s="8" t="s">
        <v>27</v>
      </c>
    </row>
    <row r="31" customFormat="false" ht="23.85" hidden="false" customHeight="false" outlineLevel="0" collapsed="false">
      <c r="A31" s="7" t="s">
        <v>28</v>
      </c>
    </row>
    <row r="32" customFormat="false" ht="23.85" hidden="false" customHeight="false" outlineLevel="0" collapsed="false">
      <c r="A32" s="7" t="s">
        <v>29</v>
      </c>
    </row>
    <row r="33" customFormat="false" ht="23.85" hidden="false" customHeight="false" outlineLevel="0" collapsed="false">
      <c r="A33" s="7" t="s">
        <v>30</v>
      </c>
    </row>
    <row r="34" customFormat="false" ht="15" hidden="false" customHeight="false" outlineLevel="0" collapsed="false">
      <c r="A34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68"/>
    <col collapsed="false" customWidth="true" hidden="false" outlineLevel="0" max="8" min="8" style="1" width="13"/>
    <col collapsed="false" customWidth="true" hidden="false" outlineLevel="0" max="9" min="9" style="1" width="11"/>
  </cols>
  <sheetData>
    <row r="1" customFormat="false" ht="15" hidden="false" customHeight="true" outlineLevel="0" collapsed="false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</row>
    <row r="2" customFormat="false" ht="15" hidden="false" customHeight="true" outlineLevel="0" collapsed="false">
      <c r="A2" s="10" t="s">
        <v>41</v>
      </c>
      <c r="B2" s="10" t="s">
        <v>42</v>
      </c>
      <c r="C2" s="10" t="s">
        <v>43</v>
      </c>
      <c r="D2" s="10" t="s">
        <v>44</v>
      </c>
      <c r="E2" s="11" t="s">
        <v>45</v>
      </c>
      <c r="F2" s="11" t="s">
        <v>46</v>
      </c>
      <c r="G2" s="11" t="s">
        <v>47</v>
      </c>
      <c r="H2" s="10" t="s">
        <v>16</v>
      </c>
      <c r="I2" s="10" t="s">
        <v>48</v>
      </c>
    </row>
    <row r="3" customFormat="false" ht="15" hidden="false" customHeight="true" outlineLevel="0" collapsed="false">
      <c r="A3" s="10" t="s">
        <v>49</v>
      </c>
      <c r="B3" s="10" t="s">
        <v>42</v>
      </c>
      <c r="C3" s="10" t="s">
        <v>43</v>
      </c>
      <c r="D3" s="10" t="s">
        <v>44</v>
      </c>
      <c r="E3" s="11" t="s">
        <v>50</v>
      </c>
      <c r="F3" s="11" t="s">
        <v>46</v>
      </c>
      <c r="G3" s="11" t="s">
        <v>51</v>
      </c>
      <c r="H3" s="10" t="s">
        <v>16</v>
      </c>
      <c r="I3" s="10" t="s">
        <v>48</v>
      </c>
    </row>
    <row r="4" customFormat="false" ht="15" hidden="false" customHeight="true" outlineLevel="0" collapsed="false">
      <c r="A4" s="10" t="s">
        <v>52</v>
      </c>
      <c r="B4" s="10" t="s">
        <v>42</v>
      </c>
      <c r="C4" s="10" t="s">
        <v>43</v>
      </c>
      <c r="D4" s="10" t="s">
        <v>44</v>
      </c>
      <c r="E4" s="11" t="s">
        <v>53</v>
      </c>
      <c r="F4" s="11" t="s">
        <v>46</v>
      </c>
      <c r="G4" s="11" t="s">
        <v>54</v>
      </c>
      <c r="H4" s="10" t="s">
        <v>16</v>
      </c>
      <c r="I4" s="10" t="s">
        <v>48</v>
      </c>
    </row>
    <row r="5" customFormat="false" ht="15" hidden="false" customHeight="true" outlineLevel="0" collapsed="false">
      <c r="A5" s="10" t="s">
        <v>55</v>
      </c>
      <c r="B5" s="10" t="s">
        <v>42</v>
      </c>
      <c r="C5" s="10" t="s">
        <v>43</v>
      </c>
      <c r="D5" s="10" t="s">
        <v>44</v>
      </c>
      <c r="E5" s="11" t="s">
        <v>56</v>
      </c>
      <c r="F5" s="11" t="s">
        <v>46</v>
      </c>
      <c r="G5" s="11" t="s">
        <v>57</v>
      </c>
      <c r="H5" s="10" t="s">
        <v>16</v>
      </c>
      <c r="I5" s="10" t="s">
        <v>48</v>
      </c>
    </row>
    <row r="6" customFormat="false" ht="23.25" hidden="false" customHeight="true" outlineLevel="0" collapsed="false">
      <c r="A6" s="10" t="s">
        <v>58</v>
      </c>
      <c r="B6" s="10" t="s">
        <v>42</v>
      </c>
      <c r="C6" s="10" t="s">
        <v>43</v>
      </c>
      <c r="D6" s="10" t="s">
        <v>44</v>
      </c>
      <c r="E6" s="11" t="s">
        <v>59</v>
      </c>
      <c r="F6" s="11" t="s">
        <v>60</v>
      </c>
      <c r="G6" s="11" t="s">
        <v>61</v>
      </c>
      <c r="H6" s="10" t="s">
        <v>18</v>
      </c>
      <c r="I6" s="10" t="s">
        <v>48</v>
      </c>
    </row>
    <row r="7" customFormat="false" ht="15" hidden="false" customHeight="true" outlineLevel="0" collapsed="false">
      <c r="A7" s="10" t="s">
        <v>62</v>
      </c>
      <c r="B7" s="10" t="s">
        <v>42</v>
      </c>
      <c r="C7" s="10" t="s">
        <v>43</v>
      </c>
      <c r="D7" s="10" t="s">
        <v>44</v>
      </c>
      <c r="E7" s="11" t="s">
        <v>63</v>
      </c>
      <c r="F7" s="11" t="s">
        <v>64</v>
      </c>
      <c r="G7" s="11" t="s">
        <v>65</v>
      </c>
      <c r="H7" s="10" t="s">
        <v>18</v>
      </c>
      <c r="I7" s="10" t="s">
        <v>48</v>
      </c>
    </row>
    <row r="8" customFormat="false" ht="15" hidden="false" customHeight="true" outlineLevel="0" collapsed="false">
      <c r="A8" s="10" t="s">
        <v>66</v>
      </c>
      <c r="B8" s="10" t="s">
        <v>42</v>
      </c>
      <c r="C8" s="10" t="s">
        <v>43</v>
      </c>
      <c r="D8" s="10" t="s">
        <v>44</v>
      </c>
      <c r="E8" s="11" t="s">
        <v>67</v>
      </c>
      <c r="F8" s="11" t="s">
        <v>68</v>
      </c>
      <c r="G8" s="11" t="s">
        <v>69</v>
      </c>
      <c r="H8" s="10" t="s">
        <v>16</v>
      </c>
      <c r="I8" s="10" t="s">
        <v>70</v>
      </c>
    </row>
    <row r="9" customFormat="false" ht="15" hidden="false" customHeight="true" outlineLevel="0" collapsed="false">
      <c r="A9" s="10" t="s">
        <v>71</v>
      </c>
      <c r="B9" s="10" t="s">
        <v>42</v>
      </c>
      <c r="C9" s="10" t="s">
        <v>43</v>
      </c>
      <c r="D9" s="10" t="s">
        <v>44</v>
      </c>
      <c r="E9" s="11" t="s">
        <v>72</v>
      </c>
      <c r="F9" s="11" t="s">
        <v>73</v>
      </c>
      <c r="G9" s="11" t="s">
        <v>74</v>
      </c>
      <c r="H9" s="10" t="s">
        <v>16</v>
      </c>
      <c r="I9" s="10" t="s">
        <v>70</v>
      </c>
    </row>
    <row r="10" customFormat="false" ht="15" hidden="false" customHeight="true" outlineLevel="0" collapsed="false">
      <c r="A10" s="10" t="s">
        <v>75</v>
      </c>
      <c r="B10" s="10" t="s">
        <v>42</v>
      </c>
      <c r="C10" s="10" t="s">
        <v>43</v>
      </c>
      <c r="D10" s="10" t="s">
        <v>44</v>
      </c>
      <c r="E10" s="11" t="s">
        <v>76</v>
      </c>
      <c r="F10" s="11" t="s">
        <v>77</v>
      </c>
      <c r="G10" s="11" t="s">
        <v>78</v>
      </c>
      <c r="H10" s="10" t="s">
        <v>16</v>
      </c>
      <c r="I10" s="10" t="s">
        <v>48</v>
      </c>
    </row>
    <row r="11" customFormat="false" ht="15" hidden="false" customHeight="true" outlineLevel="0" collapsed="false">
      <c r="A11" s="10" t="s">
        <v>79</v>
      </c>
      <c r="B11" s="10" t="s">
        <v>42</v>
      </c>
      <c r="C11" s="10" t="s">
        <v>43</v>
      </c>
      <c r="D11" s="10" t="s">
        <v>44</v>
      </c>
      <c r="E11" s="11" t="s">
        <v>80</v>
      </c>
      <c r="F11" s="11" t="s">
        <v>81</v>
      </c>
      <c r="G11" s="11" t="s">
        <v>78</v>
      </c>
      <c r="H11" s="10" t="s">
        <v>16</v>
      </c>
      <c r="I11" s="10" t="s">
        <v>48</v>
      </c>
    </row>
    <row r="12" customFormat="false" ht="23.25" hidden="false" customHeight="true" outlineLevel="0" collapsed="false">
      <c r="A12" s="10" t="s">
        <v>82</v>
      </c>
      <c r="B12" s="10" t="s">
        <v>42</v>
      </c>
      <c r="C12" s="10" t="s">
        <v>43</v>
      </c>
      <c r="D12" s="10" t="s">
        <v>44</v>
      </c>
      <c r="E12" s="11" t="s">
        <v>83</v>
      </c>
      <c r="F12" s="11" t="s">
        <v>84</v>
      </c>
      <c r="G12" s="11" t="s">
        <v>85</v>
      </c>
      <c r="H12" s="10" t="s">
        <v>18</v>
      </c>
      <c r="I12" s="10" t="s">
        <v>48</v>
      </c>
    </row>
    <row r="13" customFormat="false" ht="23.25" hidden="false" customHeight="true" outlineLevel="0" collapsed="false">
      <c r="A13" s="10" t="s">
        <v>86</v>
      </c>
      <c r="B13" s="10" t="s">
        <v>42</v>
      </c>
      <c r="C13" s="10" t="s">
        <v>43</v>
      </c>
      <c r="D13" s="10" t="s">
        <v>44</v>
      </c>
      <c r="E13" s="11" t="s">
        <v>87</v>
      </c>
      <c r="F13" s="11" t="s">
        <v>46</v>
      </c>
      <c r="G13" s="11" t="s">
        <v>88</v>
      </c>
      <c r="H13" s="10" t="s">
        <v>19</v>
      </c>
      <c r="I13" s="10" t="s">
        <v>70</v>
      </c>
    </row>
    <row r="14" customFormat="false" ht="23.25" hidden="false" customHeight="true" outlineLevel="0" collapsed="false">
      <c r="A14" s="10" t="s">
        <v>89</v>
      </c>
      <c r="B14" s="10" t="s">
        <v>42</v>
      </c>
      <c r="C14" s="10" t="s">
        <v>43</v>
      </c>
      <c r="D14" s="10" t="s">
        <v>44</v>
      </c>
      <c r="E14" s="11" t="s">
        <v>90</v>
      </c>
      <c r="F14" s="11" t="s">
        <v>46</v>
      </c>
      <c r="G14" s="11" t="s">
        <v>91</v>
      </c>
      <c r="H14" s="10" t="s">
        <v>19</v>
      </c>
      <c r="I14" s="10" t="s">
        <v>70</v>
      </c>
    </row>
    <row r="15" customFormat="false" ht="23.25" hidden="false" customHeight="true" outlineLevel="0" collapsed="false">
      <c r="A15" s="10" t="s">
        <v>92</v>
      </c>
      <c r="B15" s="10" t="s">
        <v>93</v>
      </c>
      <c r="C15" s="10" t="s">
        <v>94</v>
      </c>
      <c r="D15" s="10" t="s">
        <v>95</v>
      </c>
      <c r="E15" s="11" t="s">
        <v>96</v>
      </c>
      <c r="F15" s="11" t="s">
        <v>46</v>
      </c>
      <c r="G15" s="11" t="s">
        <v>97</v>
      </c>
      <c r="H15" s="10" t="s">
        <v>16</v>
      </c>
      <c r="I15" s="10" t="s">
        <v>48</v>
      </c>
    </row>
    <row r="16" customFormat="false" ht="15" hidden="false" customHeight="true" outlineLevel="0" collapsed="false">
      <c r="A16" s="10" t="s">
        <v>98</v>
      </c>
      <c r="B16" s="10" t="s">
        <v>93</v>
      </c>
      <c r="C16" s="10" t="s">
        <v>94</v>
      </c>
      <c r="D16" s="10" t="s">
        <v>95</v>
      </c>
      <c r="E16" s="11" t="s">
        <v>99</v>
      </c>
      <c r="F16" s="11" t="s">
        <v>100</v>
      </c>
      <c r="G16" s="11" t="s">
        <v>101</v>
      </c>
      <c r="H16" s="10" t="s">
        <v>18</v>
      </c>
      <c r="I16" s="10" t="s">
        <v>48</v>
      </c>
    </row>
    <row r="17" customFormat="false" ht="15" hidden="false" customHeight="true" outlineLevel="0" collapsed="false">
      <c r="A17" s="10" t="s">
        <v>102</v>
      </c>
      <c r="B17" s="10" t="s">
        <v>93</v>
      </c>
      <c r="C17" s="10" t="s">
        <v>94</v>
      </c>
      <c r="D17" s="10" t="s">
        <v>95</v>
      </c>
      <c r="E17" s="11" t="s">
        <v>99</v>
      </c>
      <c r="F17" s="11" t="s">
        <v>46</v>
      </c>
      <c r="G17" s="11" t="s">
        <v>103</v>
      </c>
      <c r="H17" s="10" t="s">
        <v>16</v>
      </c>
      <c r="I17" s="10" t="s">
        <v>70</v>
      </c>
    </row>
    <row r="18" customFormat="false" ht="15" hidden="false" customHeight="true" outlineLevel="0" collapsed="false">
      <c r="A18" s="10" t="s">
        <v>104</v>
      </c>
      <c r="B18" s="10" t="s">
        <v>93</v>
      </c>
      <c r="C18" s="10" t="s">
        <v>94</v>
      </c>
      <c r="D18" s="10" t="s">
        <v>95</v>
      </c>
      <c r="E18" s="11" t="s">
        <v>105</v>
      </c>
      <c r="F18" s="11" t="s">
        <v>106</v>
      </c>
      <c r="G18" s="11" t="s">
        <v>107</v>
      </c>
      <c r="H18" s="10" t="s">
        <v>18</v>
      </c>
      <c r="I18" s="10" t="s">
        <v>48</v>
      </c>
    </row>
    <row r="19" customFormat="false" ht="15" hidden="false" customHeight="true" outlineLevel="0" collapsed="false">
      <c r="A19" s="10" t="s">
        <v>108</v>
      </c>
      <c r="B19" s="10" t="s">
        <v>93</v>
      </c>
      <c r="C19" s="10" t="s">
        <v>94</v>
      </c>
      <c r="D19" s="10" t="s">
        <v>95</v>
      </c>
      <c r="E19" s="11" t="s">
        <v>105</v>
      </c>
      <c r="F19" s="11" t="s">
        <v>46</v>
      </c>
      <c r="G19" s="11" t="s">
        <v>109</v>
      </c>
      <c r="H19" s="10" t="s">
        <v>16</v>
      </c>
      <c r="I19" s="10" t="s">
        <v>70</v>
      </c>
    </row>
    <row r="20" customFormat="false" ht="15" hidden="false" customHeight="true" outlineLevel="0" collapsed="false">
      <c r="A20" s="10" t="s">
        <v>110</v>
      </c>
      <c r="B20" s="10" t="s">
        <v>93</v>
      </c>
      <c r="C20" s="10" t="s">
        <v>94</v>
      </c>
      <c r="D20" s="10" t="s">
        <v>95</v>
      </c>
      <c r="E20" s="11" t="s">
        <v>111</v>
      </c>
      <c r="F20" s="11" t="s">
        <v>46</v>
      </c>
      <c r="G20" s="11" t="s">
        <v>112</v>
      </c>
      <c r="H20" s="10" t="s">
        <v>16</v>
      </c>
      <c r="I20" s="10" t="s">
        <v>48</v>
      </c>
    </row>
    <row r="21" customFormat="false" ht="23.25" hidden="false" customHeight="true" outlineLevel="0" collapsed="false">
      <c r="A21" s="10" t="s">
        <v>113</v>
      </c>
      <c r="B21" s="10" t="s">
        <v>93</v>
      </c>
      <c r="C21" s="10" t="s">
        <v>94</v>
      </c>
      <c r="D21" s="10" t="s">
        <v>95</v>
      </c>
      <c r="E21" s="11" t="s">
        <v>114</v>
      </c>
      <c r="F21" s="11" t="s">
        <v>46</v>
      </c>
      <c r="G21" s="11" t="s">
        <v>115</v>
      </c>
      <c r="H21" s="10" t="s">
        <v>19</v>
      </c>
      <c r="I21" s="10" t="s">
        <v>116</v>
      </c>
    </row>
    <row r="22" customFormat="false" ht="34.5" hidden="false" customHeight="true" outlineLevel="0" collapsed="false">
      <c r="A22" s="10" t="s">
        <v>117</v>
      </c>
      <c r="B22" s="10" t="s">
        <v>118</v>
      </c>
      <c r="C22" s="10" t="s">
        <v>119</v>
      </c>
      <c r="D22" s="10" t="s">
        <v>120</v>
      </c>
      <c r="E22" s="11" t="s">
        <v>121</v>
      </c>
      <c r="F22" s="11" t="s">
        <v>46</v>
      </c>
      <c r="G22" s="11" t="s">
        <v>122</v>
      </c>
      <c r="H22" s="10" t="s">
        <v>19</v>
      </c>
      <c r="I22" s="10" t="s">
        <v>48</v>
      </c>
    </row>
    <row r="23" customFormat="false" ht="15" hidden="false" customHeight="true" outlineLevel="0" collapsed="false">
      <c r="A23" s="10" t="s">
        <v>123</v>
      </c>
      <c r="B23" s="10" t="s">
        <v>118</v>
      </c>
      <c r="C23" s="10" t="s">
        <v>119</v>
      </c>
      <c r="D23" s="10" t="s">
        <v>120</v>
      </c>
      <c r="E23" s="11" t="s">
        <v>124</v>
      </c>
      <c r="F23" s="11" t="s">
        <v>125</v>
      </c>
      <c r="G23" s="11" t="s">
        <v>126</v>
      </c>
      <c r="H23" s="10" t="s">
        <v>16</v>
      </c>
      <c r="I23" s="10" t="s">
        <v>48</v>
      </c>
    </row>
    <row r="24" customFormat="false" ht="15" hidden="false" customHeight="true" outlineLevel="0" collapsed="false">
      <c r="A24" s="10" t="s">
        <v>127</v>
      </c>
      <c r="B24" s="10" t="s">
        <v>118</v>
      </c>
      <c r="C24" s="10" t="s">
        <v>119</v>
      </c>
      <c r="D24" s="10" t="s">
        <v>120</v>
      </c>
      <c r="E24" s="11" t="s">
        <v>128</v>
      </c>
      <c r="F24" s="11" t="s">
        <v>46</v>
      </c>
      <c r="G24" s="11" t="s">
        <v>129</v>
      </c>
      <c r="H24" s="10" t="s">
        <v>16</v>
      </c>
      <c r="I24" s="10" t="s">
        <v>48</v>
      </c>
    </row>
    <row r="25" customFormat="false" ht="23.25" hidden="false" customHeight="true" outlineLevel="0" collapsed="false">
      <c r="A25" s="10" t="s">
        <v>130</v>
      </c>
      <c r="B25" s="10" t="s">
        <v>118</v>
      </c>
      <c r="C25" s="10" t="s">
        <v>119</v>
      </c>
      <c r="D25" s="10" t="s">
        <v>120</v>
      </c>
      <c r="E25" s="11" t="s">
        <v>131</v>
      </c>
      <c r="F25" s="11" t="s">
        <v>46</v>
      </c>
      <c r="G25" s="11" t="s">
        <v>132</v>
      </c>
      <c r="H25" s="10" t="s">
        <v>19</v>
      </c>
      <c r="I25" s="10" t="s">
        <v>70</v>
      </c>
    </row>
    <row r="26" customFormat="false" ht="15" hidden="false" customHeight="true" outlineLevel="0" collapsed="false">
      <c r="A26" s="10" t="s">
        <v>133</v>
      </c>
      <c r="B26" s="10" t="s">
        <v>118</v>
      </c>
      <c r="C26" s="10" t="s">
        <v>119</v>
      </c>
      <c r="D26" s="10" t="s">
        <v>120</v>
      </c>
      <c r="E26" s="11" t="s">
        <v>134</v>
      </c>
      <c r="F26" s="11" t="s">
        <v>46</v>
      </c>
      <c r="G26" s="11" t="s">
        <v>135</v>
      </c>
      <c r="H26" s="10" t="s">
        <v>19</v>
      </c>
      <c r="I26" s="10" t="s">
        <v>116</v>
      </c>
    </row>
    <row r="27" customFormat="false" ht="15" hidden="false" customHeight="true" outlineLevel="0" collapsed="false">
      <c r="A27" s="10" t="s">
        <v>136</v>
      </c>
      <c r="B27" s="10" t="s">
        <v>137</v>
      </c>
      <c r="C27" s="10" t="s">
        <v>94</v>
      </c>
      <c r="D27" s="10" t="s">
        <v>138</v>
      </c>
      <c r="E27" s="11" t="s">
        <v>139</v>
      </c>
      <c r="F27" s="11" t="s">
        <v>46</v>
      </c>
      <c r="G27" s="11" t="s">
        <v>140</v>
      </c>
      <c r="H27" s="10" t="s">
        <v>16</v>
      </c>
      <c r="I27" s="10" t="s">
        <v>48</v>
      </c>
    </row>
    <row r="28" customFormat="false" ht="15" hidden="false" customHeight="true" outlineLevel="0" collapsed="false">
      <c r="A28" s="10" t="s">
        <v>141</v>
      </c>
      <c r="B28" s="10" t="s">
        <v>142</v>
      </c>
      <c r="C28" s="10" t="s">
        <v>94</v>
      </c>
      <c r="D28" s="10" t="s">
        <v>143</v>
      </c>
      <c r="E28" s="11" t="s">
        <v>144</v>
      </c>
      <c r="F28" s="11" t="s">
        <v>145</v>
      </c>
      <c r="G28" s="11" t="s">
        <v>146</v>
      </c>
      <c r="H28" s="10" t="s">
        <v>18</v>
      </c>
      <c r="I28" s="10" t="s">
        <v>48</v>
      </c>
    </row>
    <row r="29" customFormat="false" ht="23.25" hidden="false" customHeight="true" outlineLevel="0" collapsed="false">
      <c r="A29" s="10" t="s">
        <v>147</v>
      </c>
      <c r="B29" s="10" t="s">
        <v>142</v>
      </c>
      <c r="C29" s="10" t="s">
        <v>94</v>
      </c>
      <c r="D29" s="10" t="s">
        <v>143</v>
      </c>
      <c r="E29" s="11" t="s">
        <v>148</v>
      </c>
      <c r="F29" s="11" t="s">
        <v>46</v>
      </c>
      <c r="G29" s="11" t="s">
        <v>149</v>
      </c>
      <c r="H29" s="10" t="s">
        <v>16</v>
      </c>
      <c r="I29" s="10" t="s">
        <v>48</v>
      </c>
    </row>
    <row r="30" customFormat="false" ht="15" hidden="false" customHeight="true" outlineLevel="0" collapsed="false">
      <c r="A30" s="10" t="s">
        <v>150</v>
      </c>
      <c r="B30" s="10" t="s">
        <v>151</v>
      </c>
      <c r="C30" s="10" t="s">
        <v>94</v>
      </c>
      <c r="D30" s="10" t="s">
        <v>152</v>
      </c>
      <c r="E30" s="11" t="s">
        <v>153</v>
      </c>
      <c r="F30" s="11" t="s">
        <v>46</v>
      </c>
      <c r="G30" s="11" t="s">
        <v>154</v>
      </c>
      <c r="H30" s="10" t="s">
        <v>16</v>
      </c>
      <c r="I30" s="10" t="s">
        <v>48</v>
      </c>
    </row>
    <row r="31" customFormat="false" ht="15" hidden="false" customHeight="true" outlineLevel="0" collapsed="false">
      <c r="A31" s="10" t="s">
        <v>155</v>
      </c>
      <c r="B31" s="10" t="s">
        <v>151</v>
      </c>
      <c r="C31" s="10" t="s">
        <v>94</v>
      </c>
      <c r="D31" s="10" t="s">
        <v>152</v>
      </c>
      <c r="E31" s="11" t="s">
        <v>156</v>
      </c>
      <c r="F31" s="11" t="s">
        <v>46</v>
      </c>
      <c r="G31" s="11" t="s">
        <v>157</v>
      </c>
      <c r="H31" s="10" t="s">
        <v>17</v>
      </c>
      <c r="I31" s="10" t="s">
        <v>70</v>
      </c>
    </row>
    <row r="32" customFormat="false" ht="15" hidden="false" customHeight="true" outlineLevel="0" collapsed="false">
      <c r="A32" s="10" t="s">
        <v>158</v>
      </c>
      <c r="B32" s="10" t="s">
        <v>151</v>
      </c>
      <c r="C32" s="10" t="s">
        <v>94</v>
      </c>
      <c r="D32" s="10" t="s">
        <v>152</v>
      </c>
      <c r="E32" s="11" t="s">
        <v>159</v>
      </c>
      <c r="F32" s="11" t="s">
        <v>160</v>
      </c>
      <c r="G32" s="11" t="s">
        <v>161</v>
      </c>
      <c r="H32" s="10" t="s">
        <v>16</v>
      </c>
      <c r="I32" s="10" t="s">
        <v>48</v>
      </c>
    </row>
    <row r="33" customFormat="false" ht="15" hidden="false" customHeight="true" outlineLevel="0" collapsed="false">
      <c r="A33" s="10" t="s">
        <v>162</v>
      </c>
      <c r="B33" s="10" t="s">
        <v>151</v>
      </c>
      <c r="C33" s="10" t="s">
        <v>94</v>
      </c>
      <c r="D33" s="10" t="s">
        <v>152</v>
      </c>
      <c r="E33" s="11" t="s">
        <v>163</v>
      </c>
      <c r="F33" s="11" t="s">
        <v>160</v>
      </c>
      <c r="G33" s="11" t="s">
        <v>164</v>
      </c>
      <c r="H33" s="10" t="s">
        <v>16</v>
      </c>
      <c r="I33" s="10" t="s">
        <v>48</v>
      </c>
    </row>
    <row r="34" customFormat="false" ht="15" hidden="false" customHeight="true" outlineLevel="0" collapsed="false">
      <c r="A34" s="10" t="s">
        <v>165</v>
      </c>
      <c r="B34" s="10" t="s">
        <v>151</v>
      </c>
      <c r="C34" s="10" t="s">
        <v>94</v>
      </c>
      <c r="D34" s="10" t="s">
        <v>152</v>
      </c>
      <c r="E34" s="11" t="s">
        <v>166</v>
      </c>
      <c r="F34" s="11" t="s">
        <v>46</v>
      </c>
      <c r="G34" s="11" t="s">
        <v>167</v>
      </c>
      <c r="H34" s="10" t="s">
        <v>16</v>
      </c>
      <c r="I34" s="10" t="s">
        <v>48</v>
      </c>
    </row>
    <row r="35" customFormat="false" ht="23.25" hidden="false" customHeight="true" outlineLevel="0" collapsed="false">
      <c r="A35" s="10" t="s">
        <v>168</v>
      </c>
      <c r="B35" s="10" t="s">
        <v>151</v>
      </c>
      <c r="C35" s="10" t="s">
        <v>94</v>
      </c>
      <c r="D35" s="10" t="s">
        <v>152</v>
      </c>
      <c r="E35" s="11" t="s">
        <v>169</v>
      </c>
      <c r="F35" s="11" t="s">
        <v>46</v>
      </c>
      <c r="G35" s="11" t="s">
        <v>170</v>
      </c>
      <c r="H35" s="10" t="s">
        <v>16</v>
      </c>
      <c r="I35" s="10" t="s">
        <v>48</v>
      </c>
    </row>
    <row r="36" customFormat="false" ht="15" hidden="false" customHeight="true" outlineLevel="0" collapsed="false">
      <c r="A36" s="10" t="s">
        <v>171</v>
      </c>
      <c r="B36" s="10" t="s">
        <v>172</v>
      </c>
      <c r="C36" s="10" t="s">
        <v>94</v>
      </c>
      <c r="D36" s="10" t="s">
        <v>173</v>
      </c>
      <c r="E36" s="11" t="s">
        <v>174</v>
      </c>
      <c r="F36" s="11" t="s">
        <v>46</v>
      </c>
      <c r="G36" s="11" t="s">
        <v>175</v>
      </c>
      <c r="H36" s="10" t="s">
        <v>16</v>
      </c>
      <c r="I36" s="10" t="s">
        <v>48</v>
      </c>
    </row>
    <row r="37" customFormat="false" ht="15" hidden="false" customHeight="true" outlineLevel="0" collapsed="false">
      <c r="A37" s="10" t="s">
        <v>176</v>
      </c>
      <c r="B37" s="10" t="s">
        <v>172</v>
      </c>
      <c r="C37" s="10" t="s">
        <v>94</v>
      </c>
      <c r="D37" s="10" t="s">
        <v>173</v>
      </c>
      <c r="E37" s="11" t="s">
        <v>177</v>
      </c>
      <c r="F37" s="11" t="s">
        <v>46</v>
      </c>
      <c r="G37" s="11" t="s">
        <v>178</v>
      </c>
      <c r="H37" s="10" t="s">
        <v>16</v>
      </c>
      <c r="I37" s="10" t="s">
        <v>48</v>
      </c>
    </row>
    <row r="38" customFormat="false" ht="15" hidden="false" customHeight="true" outlineLevel="0" collapsed="false">
      <c r="A38" s="10" t="s">
        <v>179</v>
      </c>
      <c r="B38" s="10" t="s">
        <v>172</v>
      </c>
      <c r="C38" s="10" t="s">
        <v>94</v>
      </c>
      <c r="D38" s="10" t="s">
        <v>173</v>
      </c>
      <c r="E38" s="11" t="s">
        <v>180</v>
      </c>
      <c r="F38" s="11" t="s">
        <v>181</v>
      </c>
      <c r="G38" s="11" t="s">
        <v>182</v>
      </c>
      <c r="H38" s="10" t="s">
        <v>16</v>
      </c>
      <c r="I38" s="10" t="s">
        <v>183</v>
      </c>
    </row>
    <row r="39" customFormat="false" ht="15" hidden="false" customHeight="true" outlineLevel="0" collapsed="false">
      <c r="A39" s="10" t="s">
        <v>184</v>
      </c>
      <c r="B39" s="10" t="s">
        <v>172</v>
      </c>
      <c r="C39" s="10" t="s">
        <v>94</v>
      </c>
      <c r="D39" s="10" t="s">
        <v>173</v>
      </c>
      <c r="E39" s="11" t="s">
        <v>180</v>
      </c>
      <c r="F39" s="11" t="s">
        <v>46</v>
      </c>
      <c r="G39" s="11" t="s">
        <v>185</v>
      </c>
      <c r="H39" s="10" t="s">
        <v>16</v>
      </c>
      <c r="I39" s="10" t="s">
        <v>183</v>
      </c>
    </row>
    <row r="40" customFormat="false" ht="15" hidden="false" customHeight="true" outlineLevel="0" collapsed="false">
      <c r="A40" s="10" t="s">
        <v>186</v>
      </c>
      <c r="B40" s="10" t="s">
        <v>172</v>
      </c>
      <c r="C40" s="10" t="s">
        <v>94</v>
      </c>
      <c r="D40" s="10" t="s">
        <v>173</v>
      </c>
      <c r="E40" s="11" t="s">
        <v>187</v>
      </c>
      <c r="F40" s="11" t="s">
        <v>46</v>
      </c>
      <c r="G40" s="11" t="s">
        <v>188</v>
      </c>
      <c r="H40" s="10" t="s">
        <v>16</v>
      </c>
      <c r="I40" s="10" t="s">
        <v>48</v>
      </c>
    </row>
    <row r="41" customFormat="false" ht="34.5" hidden="false" customHeight="true" outlineLevel="0" collapsed="false">
      <c r="A41" s="10" t="s">
        <v>189</v>
      </c>
      <c r="B41" s="10" t="s">
        <v>172</v>
      </c>
      <c r="C41" s="10" t="s">
        <v>94</v>
      </c>
      <c r="D41" s="10" t="s">
        <v>173</v>
      </c>
      <c r="E41" s="11" t="s">
        <v>190</v>
      </c>
      <c r="F41" s="11" t="s">
        <v>46</v>
      </c>
      <c r="G41" s="11" t="s">
        <v>191</v>
      </c>
      <c r="H41" s="10" t="s">
        <v>19</v>
      </c>
      <c r="I41" s="10" t="s">
        <v>70</v>
      </c>
    </row>
    <row r="42" customFormat="false" ht="15" hidden="false" customHeight="true" outlineLevel="0" collapsed="false">
      <c r="A42" s="10" t="s">
        <v>192</v>
      </c>
      <c r="B42" s="10" t="s">
        <v>172</v>
      </c>
      <c r="C42" s="10" t="s">
        <v>94</v>
      </c>
      <c r="D42" s="10" t="s">
        <v>173</v>
      </c>
      <c r="E42" s="11" t="s">
        <v>193</v>
      </c>
      <c r="F42" s="11" t="s">
        <v>46</v>
      </c>
      <c r="G42" s="11" t="s">
        <v>194</v>
      </c>
      <c r="H42" s="10" t="s">
        <v>16</v>
      </c>
      <c r="I42" s="10" t="s">
        <v>70</v>
      </c>
    </row>
    <row r="43" customFormat="false" ht="23.25" hidden="false" customHeight="true" outlineLevel="0" collapsed="false">
      <c r="A43" s="10" t="s">
        <v>195</v>
      </c>
      <c r="B43" s="10" t="s">
        <v>196</v>
      </c>
      <c r="C43" s="10" t="s">
        <v>94</v>
      </c>
      <c r="D43" s="10" t="s">
        <v>197</v>
      </c>
      <c r="E43" s="11" t="s">
        <v>198</v>
      </c>
      <c r="F43" s="11" t="s">
        <v>199</v>
      </c>
      <c r="G43" s="11" t="s">
        <v>200</v>
      </c>
      <c r="H43" s="10" t="s">
        <v>18</v>
      </c>
      <c r="I43" s="10" t="s">
        <v>48</v>
      </c>
    </row>
    <row r="44" customFormat="false" ht="15" hidden="false" customHeight="true" outlineLevel="0" collapsed="false">
      <c r="A44" s="10" t="s">
        <v>201</v>
      </c>
      <c r="B44" s="10" t="s">
        <v>196</v>
      </c>
      <c r="C44" s="10" t="s">
        <v>94</v>
      </c>
      <c r="D44" s="10" t="s">
        <v>197</v>
      </c>
      <c r="E44" s="11" t="s">
        <v>202</v>
      </c>
      <c r="F44" s="11" t="s">
        <v>46</v>
      </c>
      <c r="G44" s="11" t="s">
        <v>203</v>
      </c>
      <c r="H44" s="10" t="s">
        <v>16</v>
      </c>
      <c r="I44" s="10" t="s">
        <v>48</v>
      </c>
    </row>
    <row r="45" customFormat="false" ht="15" hidden="false" customHeight="true" outlineLevel="0" collapsed="false">
      <c r="A45" s="10" t="s">
        <v>204</v>
      </c>
      <c r="B45" s="10" t="s">
        <v>196</v>
      </c>
      <c r="C45" s="10" t="s">
        <v>94</v>
      </c>
      <c r="D45" s="10" t="s">
        <v>197</v>
      </c>
      <c r="E45" s="11" t="s">
        <v>193</v>
      </c>
      <c r="F45" s="11" t="s">
        <v>46</v>
      </c>
      <c r="G45" s="11" t="s">
        <v>205</v>
      </c>
      <c r="H45" s="10" t="s">
        <v>16</v>
      </c>
      <c r="I45" s="10" t="s">
        <v>70</v>
      </c>
    </row>
    <row r="46" customFormat="false" ht="15" hidden="false" customHeight="true" outlineLevel="0" collapsed="false">
      <c r="A46" s="10" t="s">
        <v>206</v>
      </c>
      <c r="B46" s="10" t="s">
        <v>207</v>
      </c>
      <c r="C46" s="10" t="s">
        <v>94</v>
      </c>
      <c r="D46" s="10" t="s">
        <v>208</v>
      </c>
      <c r="E46" s="11" t="s">
        <v>209</v>
      </c>
      <c r="F46" s="11" t="s">
        <v>210</v>
      </c>
      <c r="G46" s="11" t="s">
        <v>211</v>
      </c>
      <c r="H46" s="10" t="s">
        <v>16</v>
      </c>
      <c r="I46" s="10" t="s">
        <v>48</v>
      </c>
    </row>
    <row r="47" customFormat="false" ht="15" hidden="false" customHeight="true" outlineLevel="0" collapsed="false">
      <c r="A47" s="10" t="s">
        <v>212</v>
      </c>
      <c r="B47" s="10" t="s">
        <v>207</v>
      </c>
      <c r="C47" s="10" t="s">
        <v>94</v>
      </c>
      <c r="D47" s="10" t="s">
        <v>208</v>
      </c>
      <c r="E47" s="11" t="s">
        <v>213</v>
      </c>
      <c r="F47" s="11" t="s">
        <v>214</v>
      </c>
      <c r="G47" s="11" t="s">
        <v>215</v>
      </c>
      <c r="H47" s="10" t="s">
        <v>16</v>
      </c>
      <c r="I47" s="10" t="s">
        <v>48</v>
      </c>
    </row>
    <row r="48" customFormat="false" ht="23.25" hidden="false" customHeight="true" outlineLevel="0" collapsed="false">
      <c r="A48" s="10" t="s">
        <v>216</v>
      </c>
      <c r="B48" s="10" t="s">
        <v>207</v>
      </c>
      <c r="C48" s="10" t="s">
        <v>94</v>
      </c>
      <c r="D48" s="10" t="s">
        <v>208</v>
      </c>
      <c r="E48" s="11" t="s">
        <v>217</v>
      </c>
      <c r="F48" s="11" t="s">
        <v>218</v>
      </c>
      <c r="G48" s="11" t="s">
        <v>219</v>
      </c>
      <c r="H48" s="10" t="s">
        <v>19</v>
      </c>
      <c r="I48" s="10" t="s">
        <v>48</v>
      </c>
    </row>
    <row r="49" customFormat="false" ht="15" hidden="false" customHeight="true" outlineLevel="0" collapsed="false">
      <c r="A49" s="10" t="s">
        <v>220</v>
      </c>
      <c r="B49" s="10" t="s">
        <v>207</v>
      </c>
      <c r="C49" s="10" t="s">
        <v>94</v>
      </c>
      <c r="D49" s="10" t="s">
        <v>208</v>
      </c>
      <c r="E49" s="11" t="s">
        <v>221</v>
      </c>
      <c r="F49" s="11" t="s">
        <v>222</v>
      </c>
      <c r="G49" s="11" t="s">
        <v>223</v>
      </c>
      <c r="H49" s="10" t="s">
        <v>19</v>
      </c>
      <c r="I49" s="10" t="s">
        <v>48</v>
      </c>
    </row>
    <row r="50" customFormat="false" ht="23.25" hidden="false" customHeight="true" outlineLevel="0" collapsed="false">
      <c r="A50" s="10" t="s">
        <v>224</v>
      </c>
      <c r="B50" s="10" t="s">
        <v>207</v>
      </c>
      <c r="C50" s="10" t="s">
        <v>94</v>
      </c>
      <c r="D50" s="10" t="s">
        <v>208</v>
      </c>
      <c r="E50" s="11" t="s">
        <v>193</v>
      </c>
      <c r="F50" s="11" t="s">
        <v>46</v>
      </c>
      <c r="G50" s="11" t="s">
        <v>225</v>
      </c>
      <c r="H50" s="10" t="s">
        <v>19</v>
      </c>
      <c r="I50" s="10" t="s">
        <v>70</v>
      </c>
    </row>
    <row r="51" customFormat="false" ht="15" hidden="false" customHeight="true" outlineLevel="0" collapsed="false">
      <c r="A51" s="10" t="s">
        <v>226</v>
      </c>
      <c r="B51" s="10" t="s">
        <v>207</v>
      </c>
      <c r="C51" s="10" t="s">
        <v>94</v>
      </c>
      <c r="D51" s="10" t="s">
        <v>208</v>
      </c>
      <c r="E51" s="11" t="s">
        <v>227</v>
      </c>
      <c r="F51" s="11" t="s">
        <v>228</v>
      </c>
      <c r="G51" s="11" t="s">
        <v>229</v>
      </c>
      <c r="H51" s="10" t="s">
        <v>18</v>
      </c>
      <c r="I51" s="10" t="s">
        <v>70</v>
      </c>
    </row>
    <row r="52" customFormat="false" ht="15" hidden="false" customHeight="true" outlineLevel="0" collapsed="false">
      <c r="A52" s="10" t="s">
        <v>230</v>
      </c>
      <c r="B52" s="10" t="s">
        <v>231</v>
      </c>
      <c r="C52" s="10" t="s">
        <v>94</v>
      </c>
      <c r="D52" s="10" t="s">
        <v>232</v>
      </c>
      <c r="E52" s="11" t="s">
        <v>233</v>
      </c>
      <c r="F52" s="11" t="s">
        <v>234</v>
      </c>
      <c r="G52" s="11" t="s">
        <v>235</v>
      </c>
      <c r="H52" s="10" t="s">
        <v>16</v>
      </c>
      <c r="I52" s="10" t="s">
        <v>48</v>
      </c>
    </row>
    <row r="53" customFormat="false" ht="15" hidden="false" customHeight="true" outlineLevel="0" collapsed="false">
      <c r="A53" s="10" t="s">
        <v>236</v>
      </c>
      <c r="B53" s="10" t="s">
        <v>237</v>
      </c>
      <c r="C53" s="10" t="s">
        <v>119</v>
      </c>
      <c r="D53" s="10" t="s">
        <v>238</v>
      </c>
      <c r="E53" s="11" t="s">
        <v>239</v>
      </c>
      <c r="F53" s="11" t="s">
        <v>46</v>
      </c>
      <c r="G53" s="11" t="s">
        <v>240</v>
      </c>
      <c r="H53" s="10" t="s">
        <v>16</v>
      </c>
      <c r="I53" s="10" t="s">
        <v>48</v>
      </c>
    </row>
    <row r="54" customFormat="false" ht="23.25" hidden="false" customHeight="true" outlineLevel="0" collapsed="false">
      <c r="A54" s="10" t="s">
        <v>241</v>
      </c>
      <c r="B54" s="10" t="s">
        <v>237</v>
      </c>
      <c r="C54" s="10" t="s">
        <v>119</v>
      </c>
      <c r="D54" s="10" t="s">
        <v>238</v>
      </c>
      <c r="E54" s="11" t="s">
        <v>242</v>
      </c>
      <c r="F54" s="11" t="s">
        <v>243</v>
      </c>
      <c r="G54" s="11" t="s">
        <v>244</v>
      </c>
      <c r="H54" s="10" t="s">
        <v>18</v>
      </c>
      <c r="I54" s="10" t="s">
        <v>70</v>
      </c>
    </row>
    <row r="55" customFormat="false" ht="23.25" hidden="false" customHeight="true" outlineLevel="0" collapsed="false">
      <c r="A55" s="10" t="s">
        <v>245</v>
      </c>
      <c r="B55" s="10" t="s">
        <v>246</v>
      </c>
      <c r="C55" s="10" t="s">
        <v>43</v>
      </c>
      <c r="D55" s="10" t="s">
        <v>247</v>
      </c>
      <c r="E55" s="11" t="s">
        <v>248</v>
      </c>
      <c r="F55" s="11" t="s">
        <v>249</v>
      </c>
      <c r="G55" s="11" t="s">
        <v>250</v>
      </c>
      <c r="H55" s="10" t="s">
        <v>18</v>
      </c>
      <c r="I55" s="10" t="s">
        <v>48</v>
      </c>
    </row>
    <row r="56" customFormat="false" ht="23.25" hidden="false" customHeight="true" outlineLevel="0" collapsed="false">
      <c r="A56" s="10" t="s">
        <v>251</v>
      </c>
      <c r="B56" s="10" t="s">
        <v>246</v>
      </c>
      <c r="C56" s="10" t="s">
        <v>43</v>
      </c>
      <c r="D56" s="10" t="s">
        <v>247</v>
      </c>
      <c r="E56" s="11" t="s">
        <v>252</v>
      </c>
      <c r="F56" s="11" t="s">
        <v>253</v>
      </c>
      <c r="G56" s="11" t="s">
        <v>254</v>
      </c>
      <c r="H56" s="10" t="s">
        <v>18</v>
      </c>
      <c r="I56" s="10" t="s">
        <v>48</v>
      </c>
    </row>
    <row r="57" customFormat="false" ht="23.25" hidden="false" customHeight="true" outlineLevel="0" collapsed="false">
      <c r="A57" s="10" t="s">
        <v>255</v>
      </c>
      <c r="B57" s="10" t="s">
        <v>246</v>
      </c>
      <c r="C57" s="10" t="s">
        <v>43</v>
      </c>
      <c r="D57" s="10" t="s">
        <v>247</v>
      </c>
      <c r="E57" s="11" t="s">
        <v>256</v>
      </c>
      <c r="F57" s="11" t="s">
        <v>257</v>
      </c>
      <c r="G57" s="11" t="s">
        <v>258</v>
      </c>
      <c r="H57" s="10" t="s">
        <v>18</v>
      </c>
      <c r="I57" s="10" t="s">
        <v>183</v>
      </c>
    </row>
    <row r="58" customFormat="false" ht="15" hidden="false" customHeight="true" outlineLevel="0" collapsed="false">
      <c r="A58" s="10" t="s">
        <v>259</v>
      </c>
      <c r="B58" s="10" t="s">
        <v>246</v>
      </c>
      <c r="C58" s="10" t="s">
        <v>43</v>
      </c>
      <c r="D58" s="10" t="s">
        <v>247</v>
      </c>
      <c r="E58" s="11" t="s">
        <v>260</v>
      </c>
      <c r="F58" s="11" t="s">
        <v>261</v>
      </c>
      <c r="G58" s="11" t="s">
        <v>262</v>
      </c>
      <c r="H58" s="10" t="s">
        <v>16</v>
      </c>
      <c r="I58" s="10" t="s">
        <v>48</v>
      </c>
    </row>
    <row r="59" customFormat="false" ht="15" hidden="false" customHeight="true" outlineLevel="0" collapsed="false">
      <c r="A59" s="10" t="s">
        <v>263</v>
      </c>
      <c r="B59" s="10" t="s">
        <v>246</v>
      </c>
      <c r="C59" s="10" t="s">
        <v>43</v>
      </c>
      <c r="D59" s="10" t="s">
        <v>247</v>
      </c>
      <c r="E59" s="11" t="s">
        <v>264</v>
      </c>
      <c r="F59" s="11" t="s">
        <v>261</v>
      </c>
      <c r="G59" s="11" t="s">
        <v>265</v>
      </c>
      <c r="H59" s="10" t="s">
        <v>16</v>
      </c>
      <c r="I59" s="10" t="s">
        <v>48</v>
      </c>
    </row>
    <row r="60" customFormat="false" ht="23.25" hidden="false" customHeight="true" outlineLevel="0" collapsed="false">
      <c r="A60" s="10" t="s">
        <v>266</v>
      </c>
      <c r="B60" s="10" t="s">
        <v>267</v>
      </c>
      <c r="C60" s="10" t="s">
        <v>119</v>
      </c>
      <c r="D60" s="10" t="s">
        <v>268</v>
      </c>
      <c r="E60" s="11" t="s">
        <v>269</v>
      </c>
      <c r="F60" s="11" t="s">
        <v>270</v>
      </c>
      <c r="G60" s="11" t="s">
        <v>271</v>
      </c>
      <c r="H60" s="10" t="s">
        <v>16</v>
      </c>
      <c r="I60" s="10" t="s">
        <v>48</v>
      </c>
    </row>
    <row r="61" customFormat="false" ht="23.25" hidden="false" customHeight="true" outlineLevel="0" collapsed="false">
      <c r="A61" s="10" t="s">
        <v>272</v>
      </c>
      <c r="B61" s="10" t="s">
        <v>267</v>
      </c>
      <c r="C61" s="10" t="s">
        <v>119</v>
      </c>
      <c r="D61" s="10" t="s">
        <v>268</v>
      </c>
      <c r="E61" s="11" t="s">
        <v>273</v>
      </c>
      <c r="F61" s="11" t="s">
        <v>46</v>
      </c>
      <c r="G61" s="11" t="s">
        <v>274</v>
      </c>
      <c r="H61" s="10" t="s">
        <v>16</v>
      </c>
      <c r="I61" s="10" t="s">
        <v>183</v>
      </c>
    </row>
    <row r="62" customFormat="false" ht="15" hidden="false" customHeight="true" outlineLevel="0" collapsed="false">
      <c r="A62" s="10" t="s">
        <v>275</v>
      </c>
      <c r="B62" s="10" t="s">
        <v>267</v>
      </c>
      <c r="C62" s="10" t="s">
        <v>119</v>
      </c>
      <c r="D62" s="10" t="s">
        <v>268</v>
      </c>
      <c r="E62" s="11" t="s">
        <v>276</v>
      </c>
      <c r="F62" s="11" t="s">
        <v>46</v>
      </c>
      <c r="G62" s="11" t="s">
        <v>277</v>
      </c>
      <c r="H62" s="10" t="s">
        <v>16</v>
      </c>
      <c r="I62" s="10" t="s">
        <v>48</v>
      </c>
    </row>
    <row r="63" customFormat="false" ht="23.25" hidden="false" customHeight="true" outlineLevel="0" collapsed="false">
      <c r="A63" s="10" t="s">
        <v>278</v>
      </c>
      <c r="B63" s="10" t="s">
        <v>267</v>
      </c>
      <c r="C63" s="10" t="s">
        <v>119</v>
      </c>
      <c r="D63" s="10" t="s">
        <v>268</v>
      </c>
      <c r="E63" s="11" t="s">
        <v>279</v>
      </c>
      <c r="F63" s="11" t="s">
        <v>46</v>
      </c>
      <c r="G63" s="11" t="s">
        <v>280</v>
      </c>
      <c r="H63" s="10" t="s">
        <v>19</v>
      </c>
      <c r="I63" s="10" t="s">
        <v>70</v>
      </c>
    </row>
    <row r="64" customFormat="false" ht="15" hidden="false" customHeight="true" outlineLevel="0" collapsed="false">
      <c r="A64" s="10" t="s">
        <v>281</v>
      </c>
      <c r="B64" s="10" t="s">
        <v>282</v>
      </c>
      <c r="C64" s="10" t="s">
        <v>119</v>
      </c>
      <c r="D64" s="10" t="s">
        <v>283</v>
      </c>
      <c r="E64" s="11" t="s">
        <v>284</v>
      </c>
      <c r="F64" s="11" t="s">
        <v>46</v>
      </c>
      <c r="G64" s="11" t="s">
        <v>285</v>
      </c>
      <c r="H64" s="10" t="s">
        <v>16</v>
      </c>
      <c r="I64" s="10" t="s">
        <v>48</v>
      </c>
    </row>
    <row r="65" customFormat="false" ht="34.5" hidden="false" customHeight="true" outlineLevel="0" collapsed="false">
      <c r="A65" s="10" t="s">
        <v>286</v>
      </c>
      <c r="B65" s="10" t="s">
        <v>282</v>
      </c>
      <c r="C65" s="10" t="s">
        <v>119</v>
      </c>
      <c r="D65" s="10" t="s">
        <v>283</v>
      </c>
      <c r="E65" s="11" t="s">
        <v>287</v>
      </c>
      <c r="F65" s="11" t="s">
        <v>288</v>
      </c>
      <c r="G65" s="11" t="s">
        <v>289</v>
      </c>
      <c r="H65" s="10" t="s">
        <v>18</v>
      </c>
      <c r="I65" s="10" t="s">
        <v>183</v>
      </c>
    </row>
    <row r="66" customFormat="false" ht="15" hidden="false" customHeight="true" outlineLevel="0" collapsed="false">
      <c r="A66" s="10" t="s">
        <v>290</v>
      </c>
      <c r="B66" s="10" t="s">
        <v>282</v>
      </c>
      <c r="C66" s="10" t="s">
        <v>119</v>
      </c>
      <c r="D66" s="10" t="s">
        <v>283</v>
      </c>
      <c r="E66" s="11" t="s">
        <v>291</v>
      </c>
      <c r="F66" s="11" t="s">
        <v>46</v>
      </c>
      <c r="G66" s="11" t="s">
        <v>292</v>
      </c>
      <c r="H66" s="10" t="s">
        <v>16</v>
      </c>
      <c r="I66" s="10" t="s">
        <v>48</v>
      </c>
    </row>
    <row r="67" customFormat="false" ht="15" hidden="false" customHeight="true" outlineLevel="0" collapsed="false">
      <c r="A67" s="10" t="s">
        <v>293</v>
      </c>
      <c r="B67" s="10" t="s">
        <v>282</v>
      </c>
      <c r="C67" s="10" t="s">
        <v>119</v>
      </c>
      <c r="D67" s="10" t="s">
        <v>283</v>
      </c>
      <c r="E67" s="11" t="s">
        <v>294</v>
      </c>
      <c r="F67" s="11" t="s">
        <v>46</v>
      </c>
      <c r="G67" s="11" t="s">
        <v>295</v>
      </c>
      <c r="H67" s="10" t="s">
        <v>16</v>
      </c>
      <c r="I67" s="10" t="s">
        <v>48</v>
      </c>
    </row>
    <row r="68" customFormat="false" ht="15" hidden="false" customHeight="true" outlineLevel="0" collapsed="false">
      <c r="A68" s="10" t="s">
        <v>296</v>
      </c>
      <c r="B68" s="10" t="s">
        <v>282</v>
      </c>
      <c r="C68" s="10" t="s">
        <v>119</v>
      </c>
      <c r="D68" s="10" t="s">
        <v>283</v>
      </c>
      <c r="E68" s="11" t="s">
        <v>297</v>
      </c>
      <c r="F68" s="11" t="s">
        <v>46</v>
      </c>
      <c r="G68" s="11" t="s">
        <v>298</v>
      </c>
      <c r="H68" s="10" t="s">
        <v>16</v>
      </c>
      <c r="I68" s="10" t="s">
        <v>48</v>
      </c>
    </row>
    <row r="69" customFormat="false" ht="23.25" hidden="false" customHeight="true" outlineLevel="0" collapsed="false">
      <c r="A69" s="10" t="s">
        <v>299</v>
      </c>
      <c r="B69" s="10" t="s">
        <v>300</v>
      </c>
      <c r="C69" s="10" t="s">
        <v>119</v>
      </c>
      <c r="D69" s="10" t="s">
        <v>301</v>
      </c>
      <c r="E69" s="11" t="s">
        <v>302</v>
      </c>
      <c r="F69" s="11" t="s">
        <v>46</v>
      </c>
      <c r="G69" s="11" t="s">
        <v>303</v>
      </c>
      <c r="H69" s="10" t="s">
        <v>16</v>
      </c>
      <c r="I69" s="10" t="s">
        <v>48</v>
      </c>
    </row>
    <row r="70" customFormat="false" ht="23.25" hidden="false" customHeight="true" outlineLevel="0" collapsed="false">
      <c r="A70" s="10" t="s">
        <v>304</v>
      </c>
      <c r="B70" s="10" t="s">
        <v>300</v>
      </c>
      <c r="C70" s="10" t="s">
        <v>119</v>
      </c>
      <c r="D70" s="10" t="s">
        <v>301</v>
      </c>
      <c r="E70" s="11" t="s">
        <v>305</v>
      </c>
      <c r="F70" s="11" t="s">
        <v>46</v>
      </c>
      <c r="G70" s="11" t="s">
        <v>306</v>
      </c>
      <c r="H70" s="10" t="s">
        <v>16</v>
      </c>
      <c r="I70" s="10" t="s">
        <v>48</v>
      </c>
    </row>
    <row r="71" customFormat="false" ht="15" hidden="false" customHeight="true" outlineLevel="0" collapsed="false">
      <c r="A71" s="10" t="s">
        <v>307</v>
      </c>
      <c r="B71" s="10" t="s">
        <v>308</v>
      </c>
      <c r="C71" s="10" t="s">
        <v>119</v>
      </c>
      <c r="D71" s="10" t="s">
        <v>309</v>
      </c>
      <c r="E71" s="11" t="s">
        <v>310</v>
      </c>
      <c r="F71" s="11" t="s">
        <v>46</v>
      </c>
      <c r="G71" s="11" t="s">
        <v>311</v>
      </c>
      <c r="H71" s="10" t="s">
        <v>16</v>
      </c>
      <c r="I71" s="10" t="s">
        <v>48</v>
      </c>
    </row>
    <row r="72" customFormat="false" ht="23.25" hidden="false" customHeight="true" outlineLevel="0" collapsed="false">
      <c r="A72" s="10" t="s">
        <v>312</v>
      </c>
      <c r="B72" s="10" t="s">
        <v>308</v>
      </c>
      <c r="C72" s="10" t="s">
        <v>119</v>
      </c>
      <c r="D72" s="10" t="s">
        <v>309</v>
      </c>
      <c r="E72" s="11" t="s">
        <v>313</v>
      </c>
      <c r="F72" s="11" t="s">
        <v>314</v>
      </c>
      <c r="G72" s="11" t="s">
        <v>315</v>
      </c>
      <c r="H72" s="10" t="s">
        <v>18</v>
      </c>
      <c r="I72" s="10" t="s">
        <v>183</v>
      </c>
    </row>
    <row r="73" customFormat="false" ht="15" hidden="false" customHeight="true" outlineLevel="0" collapsed="false">
      <c r="A73" s="10" t="s">
        <v>316</v>
      </c>
      <c r="B73" s="10" t="s">
        <v>308</v>
      </c>
      <c r="C73" s="10" t="s">
        <v>119</v>
      </c>
      <c r="D73" s="10" t="s">
        <v>309</v>
      </c>
      <c r="E73" s="11" t="s">
        <v>317</v>
      </c>
      <c r="F73" s="11" t="s">
        <v>46</v>
      </c>
      <c r="G73" s="11" t="s">
        <v>318</v>
      </c>
      <c r="H73" s="10" t="s">
        <v>16</v>
      </c>
      <c r="I73" s="10" t="s">
        <v>48</v>
      </c>
    </row>
    <row r="74" customFormat="false" ht="15" hidden="false" customHeight="true" outlineLevel="0" collapsed="false">
      <c r="A74" s="10" t="s">
        <v>319</v>
      </c>
      <c r="B74" s="10" t="s">
        <v>308</v>
      </c>
      <c r="C74" s="10" t="s">
        <v>119</v>
      </c>
      <c r="D74" s="10" t="s">
        <v>309</v>
      </c>
      <c r="E74" s="11" t="s">
        <v>320</v>
      </c>
      <c r="F74" s="11" t="s">
        <v>46</v>
      </c>
      <c r="G74" s="11" t="s">
        <v>321</v>
      </c>
      <c r="H74" s="10" t="s">
        <v>16</v>
      </c>
      <c r="I74" s="10" t="s">
        <v>48</v>
      </c>
    </row>
    <row r="75" customFormat="false" ht="15" hidden="false" customHeight="true" outlineLevel="0" collapsed="false">
      <c r="A75" s="10" t="s">
        <v>322</v>
      </c>
      <c r="B75" s="10" t="s">
        <v>308</v>
      </c>
      <c r="C75" s="10" t="s">
        <v>119</v>
      </c>
      <c r="D75" s="10" t="s">
        <v>309</v>
      </c>
      <c r="E75" s="11" t="s">
        <v>323</v>
      </c>
      <c r="F75" s="11" t="s">
        <v>46</v>
      </c>
      <c r="G75" s="11" t="s">
        <v>324</v>
      </c>
      <c r="H75" s="10" t="s">
        <v>16</v>
      </c>
      <c r="I75" s="10" t="s">
        <v>48</v>
      </c>
    </row>
    <row r="76" customFormat="false" ht="34.5" hidden="false" customHeight="true" outlineLevel="0" collapsed="false">
      <c r="A76" s="10" t="s">
        <v>325</v>
      </c>
      <c r="B76" s="10" t="s">
        <v>326</v>
      </c>
      <c r="C76" s="10" t="s">
        <v>94</v>
      </c>
      <c r="D76" s="10" t="s">
        <v>327</v>
      </c>
      <c r="E76" s="11" t="s">
        <v>328</v>
      </c>
      <c r="F76" s="11" t="s">
        <v>329</v>
      </c>
      <c r="G76" s="11" t="s">
        <v>330</v>
      </c>
      <c r="H76" s="10" t="s">
        <v>18</v>
      </c>
      <c r="I76" s="10" t="s">
        <v>48</v>
      </c>
    </row>
    <row r="77" customFormat="false" ht="23.25" hidden="false" customHeight="true" outlineLevel="0" collapsed="false">
      <c r="A77" s="10" t="s">
        <v>331</v>
      </c>
      <c r="B77" s="10" t="s">
        <v>332</v>
      </c>
      <c r="C77" s="10" t="s">
        <v>94</v>
      </c>
      <c r="D77" s="10" t="s">
        <v>333</v>
      </c>
      <c r="E77" s="11" t="s">
        <v>334</v>
      </c>
      <c r="F77" s="11" t="s">
        <v>335</v>
      </c>
      <c r="G77" s="11" t="s">
        <v>336</v>
      </c>
      <c r="H77" s="10" t="s">
        <v>16</v>
      </c>
      <c r="I77" s="10" t="s">
        <v>48</v>
      </c>
    </row>
    <row r="78" customFormat="false" ht="23.25" hidden="false" customHeight="true" outlineLevel="0" collapsed="false">
      <c r="A78" s="10" t="s">
        <v>337</v>
      </c>
      <c r="B78" s="10" t="s">
        <v>332</v>
      </c>
      <c r="C78" s="10" t="s">
        <v>94</v>
      </c>
      <c r="D78" s="10" t="s">
        <v>333</v>
      </c>
      <c r="E78" s="11" t="s">
        <v>338</v>
      </c>
      <c r="F78" s="11" t="s">
        <v>335</v>
      </c>
      <c r="G78" s="11" t="s">
        <v>339</v>
      </c>
      <c r="H78" s="10" t="s">
        <v>16</v>
      </c>
      <c r="I78" s="10" t="s">
        <v>48</v>
      </c>
    </row>
    <row r="79" customFormat="false" ht="15" hidden="false" customHeight="true" outlineLevel="0" collapsed="false">
      <c r="A79" s="10" t="s">
        <v>340</v>
      </c>
      <c r="B79" s="10" t="s">
        <v>332</v>
      </c>
      <c r="C79" s="10" t="s">
        <v>94</v>
      </c>
      <c r="D79" s="10" t="s">
        <v>333</v>
      </c>
      <c r="E79" s="11" t="s">
        <v>341</v>
      </c>
      <c r="F79" s="11" t="s">
        <v>46</v>
      </c>
      <c r="G79" s="11" t="s">
        <v>342</v>
      </c>
      <c r="H79" s="10" t="s">
        <v>19</v>
      </c>
      <c r="I79" s="10" t="s">
        <v>116</v>
      </c>
    </row>
    <row r="80" customFormat="false" ht="23.25" hidden="false" customHeight="true" outlineLevel="0" collapsed="false">
      <c r="A80" s="10" t="s">
        <v>343</v>
      </c>
      <c r="B80" s="10" t="s">
        <v>332</v>
      </c>
      <c r="C80" s="10" t="s">
        <v>94</v>
      </c>
      <c r="D80" s="10" t="s">
        <v>333</v>
      </c>
      <c r="E80" s="11" t="s">
        <v>344</v>
      </c>
      <c r="F80" s="11" t="s">
        <v>46</v>
      </c>
      <c r="G80" s="11" t="s">
        <v>345</v>
      </c>
      <c r="H80" s="10" t="s">
        <v>16</v>
      </c>
      <c r="I80" s="10" t="s">
        <v>48</v>
      </c>
    </row>
    <row r="81" customFormat="false" ht="34.5" hidden="false" customHeight="true" outlineLevel="0" collapsed="false">
      <c r="A81" s="10" t="s">
        <v>346</v>
      </c>
      <c r="B81" s="10" t="s">
        <v>347</v>
      </c>
      <c r="C81" s="10" t="s">
        <v>94</v>
      </c>
      <c r="D81" s="10" t="s">
        <v>348</v>
      </c>
      <c r="E81" s="11" t="s">
        <v>349</v>
      </c>
      <c r="F81" s="11" t="s">
        <v>350</v>
      </c>
      <c r="G81" s="11" t="s">
        <v>351</v>
      </c>
      <c r="H81" s="10" t="s">
        <v>18</v>
      </c>
      <c r="I81" s="10" t="s">
        <v>183</v>
      </c>
    </row>
    <row r="82" customFormat="false" ht="23.25" hidden="false" customHeight="true" outlineLevel="0" collapsed="false">
      <c r="A82" s="10" t="s">
        <v>352</v>
      </c>
      <c r="B82" s="10" t="s">
        <v>347</v>
      </c>
      <c r="C82" s="10" t="s">
        <v>94</v>
      </c>
      <c r="D82" s="10" t="s">
        <v>348</v>
      </c>
      <c r="E82" s="11" t="s">
        <v>353</v>
      </c>
      <c r="F82" s="11" t="s">
        <v>46</v>
      </c>
      <c r="G82" s="11" t="s">
        <v>354</v>
      </c>
      <c r="H82" s="10" t="s">
        <v>18</v>
      </c>
      <c r="I82" s="10" t="s">
        <v>183</v>
      </c>
    </row>
    <row r="83" customFormat="false" ht="15" hidden="false" customHeight="true" outlineLevel="0" collapsed="false">
      <c r="A83" s="10" t="s">
        <v>355</v>
      </c>
      <c r="B83" s="10" t="s">
        <v>347</v>
      </c>
      <c r="C83" s="10" t="s">
        <v>94</v>
      </c>
      <c r="D83" s="10" t="s">
        <v>348</v>
      </c>
      <c r="E83" s="11" t="s">
        <v>356</v>
      </c>
      <c r="F83" s="11" t="s">
        <v>46</v>
      </c>
      <c r="G83" s="11" t="s">
        <v>357</v>
      </c>
      <c r="H83" s="10" t="s">
        <v>16</v>
      </c>
      <c r="I83" s="10" t="s">
        <v>48</v>
      </c>
    </row>
    <row r="84" customFormat="false" ht="23.25" hidden="false" customHeight="true" outlineLevel="0" collapsed="false">
      <c r="A84" s="10" t="s">
        <v>358</v>
      </c>
      <c r="B84" s="10" t="s">
        <v>347</v>
      </c>
      <c r="C84" s="10" t="s">
        <v>94</v>
      </c>
      <c r="D84" s="10" t="s">
        <v>348</v>
      </c>
      <c r="E84" s="11" t="s">
        <v>359</v>
      </c>
      <c r="F84" s="11" t="s">
        <v>360</v>
      </c>
      <c r="G84" s="11" t="s">
        <v>361</v>
      </c>
      <c r="H84" s="10" t="s">
        <v>19</v>
      </c>
      <c r="I84" s="10" t="s">
        <v>48</v>
      </c>
    </row>
    <row r="85" customFormat="false" ht="23.25" hidden="false" customHeight="true" outlineLevel="0" collapsed="false">
      <c r="A85" s="10" t="s">
        <v>362</v>
      </c>
      <c r="B85" s="10" t="s">
        <v>347</v>
      </c>
      <c r="C85" s="10" t="s">
        <v>94</v>
      </c>
      <c r="D85" s="10" t="s">
        <v>348</v>
      </c>
      <c r="E85" s="11" t="s">
        <v>363</v>
      </c>
      <c r="F85" s="11" t="s">
        <v>46</v>
      </c>
      <c r="G85" s="11" t="s">
        <v>364</v>
      </c>
      <c r="H85" s="10" t="s">
        <v>16</v>
      </c>
      <c r="I85" s="10" t="s">
        <v>48</v>
      </c>
    </row>
    <row r="86" customFormat="false" ht="23.25" hidden="false" customHeight="true" outlineLevel="0" collapsed="false">
      <c r="A86" s="10" t="s">
        <v>365</v>
      </c>
      <c r="B86" s="10" t="s">
        <v>347</v>
      </c>
      <c r="C86" s="10" t="s">
        <v>94</v>
      </c>
      <c r="D86" s="10" t="s">
        <v>348</v>
      </c>
      <c r="E86" s="11" t="s">
        <v>366</v>
      </c>
      <c r="F86" s="11" t="s">
        <v>367</v>
      </c>
      <c r="G86" s="11" t="s">
        <v>368</v>
      </c>
      <c r="H86" s="10" t="s">
        <v>19</v>
      </c>
      <c r="I86" s="10" t="s">
        <v>183</v>
      </c>
    </row>
    <row r="87" customFormat="false" ht="23.25" hidden="false" customHeight="true" outlineLevel="0" collapsed="false">
      <c r="A87" s="10" t="s">
        <v>369</v>
      </c>
      <c r="B87" s="10" t="s">
        <v>370</v>
      </c>
      <c r="C87" s="10" t="s">
        <v>94</v>
      </c>
      <c r="D87" s="10" t="s">
        <v>371</v>
      </c>
      <c r="E87" s="11" t="s">
        <v>372</v>
      </c>
      <c r="F87" s="11" t="s">
        <v>373</v>
      </c>
      <c r="G87" s="11" t="s">
        <v>374</v>
      </c>
      <c r="H87" s="10" t="s">
        <v>18</v>
      </c>
      <c r="I87" s="10" t="s">
        <v>183</v>
      </c>
    </row>
    <row r="88" customFormat="false" ht="23.25" hidden="false" customHeight="true" outlineLevel="0" collapsed="false">
      <c r="A88" s="10" t="s">
        <v>375</v>
      </c>
      <c r="B88" s="10" t="s">
        <v>370</v>
      </c>
      <c r="C88" s="10" t="s">
        <v>94</v>
      </c>
      <c r="D88" s="10" t="s">
        <v>371</v>
      </c>
      <c r="E88" s="11" t="s">
        <v>376</v>
      </c>
      <c r="F88" s="11" t="s">
        <v>377</v>
      </c>
      <c r="G88" s="11" t="s">
        <v>378</v>
      </c>
      <c r="H88" s="10" t="s">
        <v>18</v>
      </c>
      <c r="I88" s="10" t="s">
        <v>183</v>
      </c>
    </row>
    <row r="89" customFormat="false" ht="15" hidden="false" customHeight="true" outlineLevel="0" collapsed="false">
      <c r="A89" s="10" t="s">
        <v>379</v>
      </c>
      <c r="B89" s="10" t="s">
        <v>380</v>
      </c>
      <c r="C89" s="10" t="s">
        <v>381</v>
      </c>
      <c r="D89" s="10" t="s">
        <v>382</v>
      </c>
      <c r="E89" s="11" t="s">
        <v>383</v>
      </c>
      <c r="F89" s="11" t="s">
        <v>46</v>
      </c>
      <c r="G89" s="11" t="s">
        <v>384</v>
      </c>
      <c r="H89" s="10" t="s">
        <v>16</v>
      </c>
      <c r="I89" s="10" t="s">
        <v>48</v>
      </c>
    </row>
    <row r="90" customFormat="false" ht="23.25" hidden="false" customHeight="true" outlineLevel="0" collapsed="false">
      <c r="A90" s="10" t="s">
        <v>385</v>
      </c>
      <c r="B90" s="10" t="s">
        <v>380</v>
      </c>
      <c r="C90" s="10" t="s">
        <v>381</v>
      </c>
      <c r="D90" s="10" t="s">
        <v>382</v>
      </c>
      <c r="E90" s="11" t="s">
        <v>386</v>
      </c>
      <c r="F90" s="11" t="s">
        <v>46</v>
      </c>
      <c r="G90" s="11" t="s">
        <v>387</v>
      </c>
      <c r="H90" s="10" t="s">
        <v>19</v>
      </c>
      <c r="I90" s="10" t="s">
        <v>70</v>
      </c>
    </row>
    <row r="91" customFormat="false" ht="23.25" hidden="false" customHeight="true" outlineLevel="0" collapsed="false">
      <c r="A91" s="10" t="s">
        <v>388</v>
      </c>
      <c r="B91" s="10" t="s">
        <v>389</v>
      </c>
      <c r="C91" s="10" t="s">
        <v>381</v>
      </c>
      <c r="D91" s="10" t="s">
        <v>390</v>
      </c>
      <c r="E91" s="11" t="s">
        <v>391</v>
      </c>
      <c r="F91" s="11" t="s">
        <v>392</v>
      </c>
      <c r="G91" s="11" t="s">
        <v>393</v>
      </c>
      <c r="H91" s="10" t="s">
        <v>19</v>
      </c>
      <c r="I91" s="10" t="s">
        <v>48</v>
      </c>
    </row>
    <row r="92" customFormat="false" ht="15" hidden="false" customHeight="true" outlineLevel="0" collapsed="false">
      <c r="A92" s="10" t="s">
        <v>394</v>
      </c>
      <c r="B92" s="10" t="s">
        <v>389</v>
      </c>
      <c r="C92" s="10" t="s">
        <v>381</v>
      </c>
      <c r="D92" s="10" t="s">
        <v>390</v>
      </c>
      <c r="E92" s="11" t="s">
        <v>395</v>
      </c>
      <c r="F92" s="11" t="s">
        <v>46</v>
      </c>
      <c r="G92" s="11" t="s">
        <v>396</v>
      </c>
      <c r="H92" s="10" t="s">
        <v>16</v>
      </c>
      <c r="I92" s="10" t="s">
        <v>48</v>
      </c>
    </row>
    <row r="93" customFormat="false" ht="23.25" hidden="false" customHeight="true" outlineLevel="0" collapsed="false">
      <c r="A93" s="10" t="s">
        <v>397</v>
      </c>
      <c r="B93" s="10" t="s">
        <v>389</v>
      </c>
      <c r="C93" s="10" t="s">
        <v>381</v>
      </c>
      <c r="D93" s="10" t="s">
        <v>390</v>
      </c>
      <c r="E93" s="11" t="s">
        <v>398</v>
      </c>
      <c r="F93" s="11" t="s">
        <v>46</v>
      </c>
      <c r="G93" s="11" t="s">
        <v>399</v>
      </c>
      <c r="H93" s="10" t="s">
        <v>16</v>
      </c>
      <c r="I93" s="10" t="s">
        <v>48</v>
      </c>
    </row>
    <row r="94" customFormat="false" ht="23.25" hidden="false" customHeight="true" outlineLevel="0" collapsed="false">
      <c r="A94" s="10" t="s">
        <v>400</v>
      </c>
      <c r="B94" s="10" t="s">
        <v>389</v>
      </c>
      <c r="C94" s="10" t="s">
        <v>381</v>
      </c>
      <c r="D94" s="10" t="s">
        <v>390</v>
      </c>
      <c r="E94" s="11" t="s">
        <v>401</v>
      </c>
      <c r="F94" s="11" t="s">
        <v>46</v>
      </c>
      <c r="G94" s="11" t="s">
        <v>402</v>
      </c>
      <c r="H94" s="10" t="s">
        <v>16</v>
      </c>
      <c r="I94" s="10" t="s">
        <v>48</v>
      </c>
    </row>
    <row r="95" customFormat="false" ht="23.25" hidden="false" customHeight="true" outlineLevel="0" collapsed="false">
      <c r="A95" s="10" t="s">
        <v>403</v>
      </c>
      <c r="B95" s="10" t="s">
        <v>389</v>
      </c>
      <c r="C95" s="10" t="s">
        <v>381</v>
      </c>
      <c r="D95" s="10" t="s">
        <v>390</v>
      </c>
      <c r="E95" s="11" t="s">
        <v>404</v>
      </c>
      <c r="F95" s="11" t="s">
        <v>46</v>
      </c>
      <c r="G95" s="11" t="s">
        <v>405</v>
      </c>
      <c r="H95" s="10" t="s">
        <v>16</v>
      </c>
      <c r="I95" s="10" t="s">
        <v>48</v>
      </c>
    </row>
    <row r="96" customFormat="false" ht="15" hidden="false" customHeight="true" outlineLevel="0" collapsed="false">
      <c r="A96" s="10" t="s">
        <v>406</v>
      </c>
      <c r="B96" s="10" t="s">
        <v>407</v>
      </c>
      <c r="C96" s="10" t="s">
        <v>94</v>
      </c>
      <c r="D96" s="10" t="s">
        <v>408</v>
      </c>
      <c r="E96" s="11" t="s">
        <v>409</v>
      </c>
      <c r="F96" s="11" t="s">
        <v>46</v>
      </c>
      <c r="G96" s="11" t="s">
        <v>410</v>
      </c>
      <c r="H96" s="10" t="s">
        <v>16</v>
      </c>
      <c r="I96" s="10" t="s">
        <v>48</v>
      </c>
    </row>
    <row r="97" customFormat="false" ht="15" hidden="false" customHeight="true" outlineLevel="0" collapsed="false">
      <c r="A97" s="10" t="s">
        <v>411</v>
      </c>
      <c r="B97" s="10" t="s">
        <v>407</v>
      </c>
      <c r="C97" s="10" t="s">
        <v>94</v>
      </c>
      <c r="D97" s="10" t="s">
        <v>408</v>
      </c>
      <c r="E97" s="11" t="s">
        <v>412</v>
      </c>
      <c r="F97" s="11" t="s">
        <v>46</v>
      </c>
      <c r="G97" s="11" t="s">
        <v>413</v>
      </c>
      <c r="H97" s="10" t="s">
        <v>16</v>
      </c>
      <c r="I97" s="10" t="s">
        <v>70</v>
      </c>
    </row>
    <row r="98" customFormat="false" ht="15" hidden="false" customHeight="true" outlineLevel="0" collapsed="false">
      <c r="A98" s="10" t="s">
        <v>414</v>
      </c>
      <c r="B98" s="10" t="s">
        <v>407</v>
      </c>
      <c r="C98" s="10" t="s">
        <v>94</v>
      </c>
      <c r="D98" s="10" t="s">
        <v>408</v>
      </c>
      <c r="E98" s="11" t="s">
        <v>415</v>
      </c>
      <c r="F98" s="11" t="s">
        <v>46</v>
      </c>
      <c r="G98" s="11" t="s">
        <v>416</v>
      </c>
      <c r="H98" s="10" t="s">
        <v>19</v>
      </c>
      <c r="I98" s="10" t="s">
        <v>70</v>
      </c>
    </row>
    <row r="99" customFormat="false" ht="15" hidden="false" customHeight="true" outlineLevel="0" collapsed="false">
      <c r="A99" s="10" t="s">
        <v>417</v>
      </c>
      <c r="B99" s="10" t="s">
        <v>418</v>
      </c>
      <c r="C99" s="10" t="s">
        <v>381</v>
      </c>
      <c r="D99" s="10" t="s">
        <v>419</v>
      </c>
      <c r="E99" s="11" t="s">
        <v>420</v>
      </c>
      <c r="F99" s="11" t="s">
        <v>421</v>
      </c>
      <c r="G99" s="11" t="s">
        <v>422</v>
      </c>
      <c r="H99" s="10" t="s">
        <v>16</v>
      </c>
      <c r="I99" s="10" t="s">
        <v>48</v>
      </c>
    </row>
    <row r="100" customFormat="false" ht="23.25" hidden="false" customHeight="true" outlineLevel="0" collapsed="false">
      <c r="A100" s="10" t="s">
        <v>423</v>
      </c>
      <c r="B100" s="10" t="s">
        <v>418</v>
      </c>
      <c r="C100" s="10" t="s">
        <v>381</v>
      </c>
      <c r="D100" s="10" t="s">
        <v>419</v>
      </c>
      <c r="E100" s="11" t="s">
        <v>424</v>
      </c>
      <c r="F100" s="11" t="s">
        <v>425</v>
      </c>
      <c r="G100" s="11" t="s">
        <v>426</v>
      </c>
      <c r="H100" s="10" t="s">
        <v>16</v>
      </c>
      <c r="I100" s="10" t="s">
        <v>48</v>
      </c>
    </row>
    <row r="101" customFormat="false" ht="15" hidden="false" customHeight="true" outlineLevel="0" collapsed="false">
      <c r="A101" s="10" t="s">
        <v>427</v>
      </c>
      <c r="B101" s="10" t="s">
        <v>428</v>
      </c>
      <c r="C101" s="10" t="s">
        <v>94</v>
      </c>
      <c r="D101" s="10" t="s">
        <v>429</v>
      </c>
      <c r="E101" s="11" t="s">
        <v>430</v>
      </c>
      <c r="F101" s="11" t="s">
        <v>431</v>
      </c>
      <c r="G101" s="11" t="s">
        <v>432</v>
      </c>
      <c r="H101" s="10" t="s">
        <v>16</v>
      </c>
      <c r="I101" s="10" t="s">
        <v>48</v>
      </c>
    </row>
    <row r="102" customFormat="false" ht="15" hidden="false" customHeight="true" outlineLevel="0" collapsed="false">
      <c r="A102" s="10" t="s">
        <v>433</v>
      </c>
      <c r="B102" s="10" t="s">
        <v>428</v>
      </c>
      <c r="C102" s="10" t="s">
        <v>94</v>
      </c>
      <c r="D102" s="10" t="s">
        <v>429</v>
      </c>
      <c r="E102" s="11" t="s">
        <v>434</v>
      </c>
      <c r="F102" s="11" t="s">
        <v>46</v>
      </c>
      <c r="G102" s="11" t="s">
        <v>435</v>
      </c>
      <c r="H102" s="10" t="s">
        <v>16</v>
      </c>
      <c r="I102" s="10" t="s">
        <v>48</v>
      </c>
    </row>
    <row r="103" customFormat="false" ht="15" hidden="false" customHeight="true" outlineLevel="0" collapsed="false">
      <c r="A103" s="10" t="s">
        <v>436</v>
      </c>
      <c r="B103" s="10" t="s">
        <v>428</v>
      </c>
      <c r="C103" s="10" t="s">
        <v>94</v>
      </c>
      <c r="D103" s="10" t="s">
        <v>429</v>
      </c>
      <c r="E103" s="11" t="s">
        <v>437</v>
      </c>
      <c r="F103" s="11" t="s">
        <v>46</v>
      </c>
      <c r="G103" s="11" t="s">
        <v>438</v>
      </c>
      <c r="H103" s="10" t="s">
        <v>16</v>
      </c>
      <c r="I103" s="10" t="s">
        <v>48</v>
      </c>
    </row>
    <row r="104" customFormat="false" ht="23.25" hidden="false" customHeight="true" outlineLevel="0" collapsed="false">
      <c r="A104" s="10" t="s">
        <v>439</v>
      </c>
      <c r="B104" s="10" t="s">
        <v>428</v>
      </c>
      <c r="C104" s="10" t="s">
        <v>94</v>
      </c>
      <c r="D104" s="10" t="s">
        <v>429</v>
      </c>
      <c r="E104" s="11" t="s">
        <v>440</v>
      </c>
      <c r="F104" s="11" t="s">
        <v>46</v>
      </c>
      <c r="G104" s="11" t="s">
        <v>441</v>
      </c>
      <c r="H104" s="10" t="s">
        <v>16</v>
      </c>
      <c r="I104" s="10" t="s">
        <v>48</v>
      </c>
    </row>
    <row r="105" customFormat="false" ht="23.25" hidden="false" customHeight="true" outlineLevel="0" collapsed="false">
      <c r="A105" s="10" t="s">
        <v>442</v>
      </c>
      <c r="B105" s="10" t="s">
        <v>428</v>
      </c>
      <c r="C105" s="10" t="s">
        <v>94</v>
      </c>
      <c r="D105" s="10" t="s">
        <v>429</v>
      </c>
      <c r="E105" s="11" t="s">
        <v>443</v>
      </c>
      <c r="F105" s="11" t="s">
        <v>46</v>
      </c>
      <c r="G105" s="11" t="s">
        <v>444</v>
      </c>
      <c r="H105" s="10" t="s">
        <v>16</v>
      </c>
      <c r="I105" s="10" t="s">
        <v>48</v>
      </c>
    </row>
    <row r="106" customFormat="false" ht="23.25" hidden="false" customHeight="true" outlineLevel="0" collapsed="false">
      <c r="A106" s="10" t="s">
        <v>445</v>
      </c>
      <c r="B106" s="10" t="s">
        <v>428</v>
      </c>
      <c r="C106" s="10" t="s">
        <v>94</v>
      </c>
      <c r="D106" s="10" t="s">
        <v>429</v>
      </c>
      <c r="E106" s="11" t="s">
        <v>446</v>
      </c>
      <c r="F106" s="11" t="s">
        <v>46</v>
      </c>
      <c r="G106" s="11" t="s">
        <v>447</v>
      </c>
      <c r="H106" s="10" t="s">
        <v>19</v>
      </c>
      <c r="I106" s="10" t="s">
        <v>70</v>
      </c>
    </row>
    <row r="107" customFormat="false" ht="23.25" hidden="false" customHeight="true" outlineLevel="0" collapsed="false">
      <c r="A107" s="10" t="s">
        <v>448</v>
      </c>
      <c r="B107" s="10" t="s">
        <v>449</v>
      </c>
      <c r="C107" s="10" t="s">
        <v>43</v>
      </c>
      <c r="D107" s="10" t="s">
        <v>450</v>
      </c>
      <c r="E107" s="11" t="s">
        <v>451</v>
      </c>
      <c r="F107" s="11" t="s">
        <v>452</v>
      </c>
      <c r="G107" s="11" t="s">
        <v>453</v>
      </c>
      <c r="H107" s="10" t="s">
        <v>19</v>
      </c>
      <c r="I107" s="10" t="s">
        <v>183</v>
      </c>
    </row>
    <row r="108" customFormat="false" ht="15" hidden="false" customHeight="true" outlineLevel="0" collapsed="false">
      <c r="A108" s="10" t="s">
        <v>454</v>
      </c>
      <c r="B108" s="10" t="s">
        <v>449</v>
      </c>
      <c r="C108" s="10" t="s">
        <v>43</v>
      </c>
      <c r="D108" s="10" t="s">
        <v>450</v>
      </c>
      <c r="E108" s="11" t="s">
        <v>455</v>
      </c>
      <c r="F108" s="11" t="s">
        <v>46</v>
      </c>
      <c r="G108" s="11" t="s">
        <v>456</v>
      </c>
      <c r="H108" s="10" t="s">
        <v>16</v>
      </c>
      <c r="I108" s="10" t="s">
        <v>183</v>
      </c>
    </row>
    <row r="109" customFormat="false" ht="15" hidden="false" customHeight="true" outlineLevel="0" collapsed="false">
      <c r="A109" s="10" t="s">
        <v>457</v>
      </c>
      <c r="B109" s="10" t="s">
        <v>449</v>
      </c>
      <c r="C109" s="10" t="s">
        <v>43</v>
      </c>
      <c r="D109" s="10" t="s">
        <v>450</v>
      </c>
      <c r="E109" s="11" t="s">
        <v>458</v>
      </c>
      <c r="F109" s="11" t="s">
        <v>46</v>
      </c>
      <c r="G109" s="11" t="s">
        <v>459</v>
      </c>
      <c r="H109" s="10" t="s">
        <v>16</v>
      </c>
      <c r="I109" s="10" t="s">
        <v>48</v>
      </c>
    </row>
    <row r="110" customFormat="false" ht="15" hidden="false" customHeight="true" outlineLevel="0" collapsed="false">
      <c r="A110" s="10" t="s">
        <v>460</v>
      </c>
      <c r="B110" s="10" t="s">
        <v>449</v>
      </c>
      <c r="C110" s="10" t="s">
        <v>43</v>
      </c>
      <c r="D110" s="10" t="s">
        <v>450</v>
      </c>
      <c r="E110" s="11" t="s">
        <v>461</v>
      </c>
      <c r="F110" s="11" t="s">
        <v>462</v>
      </c>
      <c r="G110" s="11" t="s">
        <v>463</v>
      </c>
      <c r="H110" s="10" t="s">
        <v>19</v>
      </c>
      <c r="I110" s="10" t="s">
        <v>183</v>
      </c>
    </row>
    <row r="111" customFormat="false" ht="15" hidden="false" customHeight="true" outlineLevel="0" collapsed="false">
      <c r="A111" s="10" t="s">
        <v>464</v>
      </c>
      <c r="B111" s="10" t="s">
        <v>449</v>
      </c>
      <c r="C111" s="10" t="s">
        <v>43</v>
      </c>
      <c r="D111" s="10" t="s">
        <v>450</v>
      </c>
      <c r="E111" s="11" t="s">
        <v>465</v>
      </c>
      <c r="F111" s="11" t="s">
        <v>46</v>
      </c>
      <c r="G111" s="11" t="s">
        <v>466</v>
      </c>
      <c r="H111" s="10" t="s">
        <v>16</v>
      </c>
      <c r="I111" s="10" t="s">
        <v>48</v>
      </c>
    </row>
    <row r="112" customFormat="false" ht="15" hidden="false" customHeight="true" outlineLevel="0" collapsed="false">
      <c r="A112" s="10" t="s">
        <v>467</v>
      </c>
      <c r="B112" s="10" t="s">
        <v>449</v>
      </c>
      <c r="C112" s="10" t="s">
        <v>43</v>
      </c>
      <c r="D112" s="10" t="s">
        <v>450</v>
      </c>
      <c r="E112" s="11" t="s">
        <v>468</v>
      </c>
      <c r="F112" s="11" t="s">
        <v>469</v>
      </c>
      <c r="G112" s="11" t="s">
        <v>470</v>
      </c>
      <c r="H112" s="10" t="s">
        <v>18</v>
      </c>
      <c r="I112" s="10" t="s">
        <v>48</v>
      </c>
    </row>
    <row r="113" customFormat="false" ht="15" hidden="false" customHeight="true" outlineLevel="0" collapsed="false">
      <c r="A113" s="10" t="s">
        <v>471</v>
      </c>
      <c r="B113" s="10" t="s">
        <v>449</v>
      </c>
      <c r="C113" s="10" t="s">
        <v>43</v>
      </c>
      <c r="D113" s="10" t="s">
        <v>450</v>
      </c>
      <c r="E113" s="11" t="s">
        <v>472</v>
      </c>
      <c r="F113" s="11" t="s">
        <v>473</v>
      </c>
      <c r="G113" s="11" t="s">
        <v>474</v>
      </c>
      <c r="H113" s="10" t="s">
        <v>19</v>
      </c>
      <c r="I113" s="10" t="s">
        <v>183</v>
      </c>
    </row>
    <row r="114" customFormat="false" ht="15" hidden="false" customHeight="true" outlineLevel="0" collapsed="false">
      <c r="A114" s="10" t="s">
        <v>475</v>
      </c>
      <c r="B114" s="10" t="s">
        <v>449</v>
      </c>
      <c r="C114" s="10" t="s">
        <v>43</v>
      </c>
      <c r="D114" s="10" t="s">
        <v>450</v>
      </c>
      <c r="E114" s="11" t="s">
        <v>476</v>
      </c>
      <c r="F114" s="11" t="s">
        <v>46</v>
      </c>
      <c r="G114" s="11" t="s">
        <v>477</v>
      </c>
      <c r="H114" s="10" t="s">
        <v>16</v>
      </c>
      <c r="I114" s="10" t="s">
        <v>48</v>
      </c>
    </row>
    <row r="115" customFormat="false" ht="15" hidden="false" customHeight="true" outlineLevel="0" collapsed="false">
      <c r="A115" s="10" t="s">
        <v>478</v>
      </c>
      <c r="B115" s="10" t="s">
        <v>449</v>
      </c>
      <c r="C115" s="10" t="s">
        <v>43</v>
      </c>
      <c r="D115" s="10" t="s">
        <v>450</v>
      </c>
      <c r="E115" s="11" t="s">
        <v>479</v>
      </c>
      <c r="F115" s="11" t="s">
        <v>480</v>
      </c>
      <c r="G115" s="11" t="s">
        <v>481</v>
      </c>
      <c r="H115" s="10" t="s">
        <v>18</v>
      </c>
      <c r="I115" s="10" t="s">
        <v>48</v>
      </c>
    </row>
    <row r="116" customFormat="false" ht="23.25" hidden="false" customHeight="true" outlineLevel="0" collapsed="false">
      <c r="A116" s="10" t="s">
        <v>482</v>
      </c>
      <c r="B116" s="10" t="s">
        <v>483</v>
      </c>
      <c r="C116" s="10" t="s">
        <v>119</v>
      </c>
      <c r="D116" s="10" t="s">
        <v>484</v>
      </c>
      <c r="E116" s="11" t="s">
        <v>485</v>
      </c>
      <c r="F116" s="11" t="s">
        <v>486</v>
      </c>
      <c r="G116" s="11" t="s">
        <v>487</v>
      </c>
      <c r="H116" s="10" t="s">
        <v>18</v>
      </c>
      <c r="I116" s="10" t="s">
        <v>48</v>
      </c>
    </row>
    <row r="117" customFormat="false" ht="15" hidden="false" customHeight="true" outlineLevel="0" collapsed="false">
      <c r="A117" s="10" t="s">
        <v>488</v>
      </c>
      <c r="B117" s="10" t="s">
        <v>483</v>
      </c>
      <c r="C117" s="10" t="s">
        <v>119</v>
      </c>
      <c r="D117" s="10" t="s">
        <v>484</v>
      </c>
      <c r="E117" s="11" t="s">
        <v>489</v>
      </c>
      <c r="F117" s="11" t="s">
        <v>46</v>
      </c>
      <c r="G117" s="11" t="s">
        <v>490</v>
      </c>
      <c r="H117" s="10" t="s">
        <v>16</v>
      </c>
      <c r="I117" s="10" t="s">
        <v>48</v>
      </c>
    </row>
    <row r="118" customFormat="false" ht="15" hidden="false" customHeight="true" outlineLevel="0" collapsed="false">
      <c r="A118" s="10" t="s">
        <v>491</v>
      </c>
      <c r="B118" s="10" t="s">
        <v>483</v>
      </c>
      <c r="C118" s="10" t="s">
        <v>119</v>
      </c>
      <c r="D118" s="10" t="s">
        <v>484</v>
      </c>
      <c r="E118" s="11" t="s">
        <v>492</v>
      </c>
      <c r="F118" s="11" t="s">
        <v>46</v>
      </c>
      <c r="G118" s="11" t="s">
        <v>493</v>
      </c>
      <c r="H118" s="10" t="s">
        <v>16</v>
      </c>
      <c r="I118" s="10" t="s">
        <v>48</v>
      </c>
    </row>
    <row r="119" customFormat="false" ht="15" hidden="false" customHeight="true" outlineLevel="0" collapsed="false">
      <c r="A119" s="10" t="s">
        <v>494</v>
      </c>
      <c r="B119" s="10" t="s">
        <v>483</v>
      </c>
      <c r="C119" s="10" t="s">
        <v>119</v>
      </c>
      <c r="D119" s="10" t="s">
        <v>484</v>
      </c>
      <c r="E119" s="11" t="s">
        <v>495</v>
      </c>
      <c r="F119" s="11" t="s">
        <v>46</v>
      </c>
      <c r="G119" s="11" t="s">
        <v>496</v>
      </c>
      <c r="H119" s="10" t="s">
        <v>16</v>
      </c>
      <c r="I119" s="10" t="s">
        <v>48</v>
      </c>
    </row>
    <row r="120" customFormat="false" ht="15" hidden="false" customHeight="true" outlineLevel="0" collapsed="false">
      <c r="A120" s="10" t="s">
        <v>497</v>
      </c>
      <c r="B120" s="10" t="s">
        <v>483</v>
      </c>
      <c r="C120" s="10" t="s">
        <v>119</v>
      </c>
      <c r="D120" s="10" t="s">
        <v>484</v>
      </c>
      <c r="E120" s="11" t="s">
        <v>498</v>
      </c>
      <c r="F120" s="11" t="s">
        <v>46</v>
      </c>
      <c r="G120" s="11" t="s">
        <v>499</v>
      </c>
      <c r="H120" s="10" t="s">
        <v>16</v>
      </c>
      <c r="I120" s="10" t="s">
        <v>48</v>
      </c>
    </row>
    <row r="121" customFormat="false" ht="15" hidden="false" customHeight="true" outlineLevel="0" collapsed="false">
      <c r="A121" s="10" t="s">
        <v>500</v>
      </c>
      <c r="B121" s="10" t="s">
        <v>483</v>
      </c>
      <c r="C121" s="10" t="s">
        <v>119</v>
      </c>
      <c r="D121" s="10" t="s">
        <v>484</v>
      </c>
      <c r="E121" s="11" t="s">
        <v>501</v>
      </c>
      <c r="F121" s="11" t="s">
        <v>502</v>
      </c>
      <c r="G121" s="11" t="s">
        <v>503</v>
      </c>
      <c r="H121" s="10" t="s">
        <v>16</v>
      </c>
      <c r="I121" s="10" t="s">
        <v>48</v>
      </c>
    </row>
    <row r="122" customFormat="false" ht="15" hidden="false" customHeight="true" outlineLevel="0" collapsed="false">
      <c r="A122" s="10" t="s">
        <v>504</v>
      </c>
      <c r="B122" s="10" t="s">
        <v>483</v>
      </c>
      <c r="C122" s="10" t="s">
        <v>119</v>
      </c>
      <c r="D122" s="10" t="s">
        <v>484</v>
      </c>
      <c r="E122" s="11" t="s">
        <v>505</v>
      </c>
      <c r="F122" s="11" t="s">
        <v>46</v>
      </c>
      <c r="G122" s="11" t="s">
        <v>506</v>
      </c>
      <c r="H122" s="10" t="s">
        <v>16</v>
      </c>
      <c r="I122" s="10" t="s">
        <v>70</v>
      </c>
    </row>
    <row r="123" customFormat="false" ht="15" hidden="false" customHeight="true" outlineLevel="0" collapsed="false">
      <c r="A123" s="10" t="s">
        <v>507</v>
      </c>
      <c r="B123" s="10" t="s">
        <v>483</v>
      </c>
      <c r="C123" s="10" t="s">
        <v>119</v>
      </c>
      <c r="D123" s="10" t="s">
        <v>484</v>
      </c>
      <c r="E123" s="11" t="s">
        <v>508</v>
      </c>
      <c r="F123" s="11" t="s">
        <v>46</v>
      </c>
      <c r="G123" s="11" t="s">
        <v>509</v>
      </c>
      <c r="H123" s="10" t="s">
        <v>16</v>
      </c>
      <c r="I123" s="10" t="s">
        <v>70</v>
      </c>
    </row>
    <row r="124" customFormat="false" ht="23.25" hidden="false" customHeight="true" outlineLevel="0" collapsed="false">
      <c r="A124" s="10" t="s">
        <v>510</v>
      </c>
      <c r="B124" s="10" t="s">
        <v>511</v>
      </c>
      <c r="C124" s="10" t="s">
        <v>94</v>
      </c>
      <c r="D124" s="10" t="s">
        <v>512</v>
      </c>
      <c r="E124" s="11" t="s">
        <v>513</v>
      </c>
      <c r="F124" s="11" t="s">
        <v>514</v>
      </c>
      <c r="G124" s="11" t="s">
        <v>515</v>
      </c>
      <c r="H124" s="10" t="s">
        <v>20</v>
      </c>
      <c r="I124" s="10" t="s">
        <v>48</v>
      </c>
    </row>
    <row r="125" customFormat="false" ht="15" hidden="false" customHeight="true" outlineLevel="0" collapsed="false">
      <c r="A125" s="10" t="s">
        <v>516</v>
      </c>
      <c r="B125" s="10" t="s">
        <v>511</v>
      </c>
      <c r="C125" s="10" t="s">
        <v>94</v>
      </c>
      <c r="D125" s="10" t="s">
        <v>512</v>
      </c>
      <c r="E125" s="11" t="s">
        <v>517</v>
      </c>
      <c r="F125" s="11" t="s">
        <v>46</v>
      </c>
      <c r="G125" s="11" t="s">
        <v>518</v>
      </c>
      <c r="H125" s="10" t="s">
        <v>16</v>
      </c>
      <c r="I125" s="10" t="s">
        <v>48</v>
      </c>
    </row>
    <row r="126" customFormat="false" ht="15" hidden="false" customHeight="true" outlineLevel="0" collapsed="false">
      <c r="A126" s="10" t="s">
        <v>519</v>
      </c>
      <c r="B126" s="10" t="s">
        <v>511</v>
      </c>
      <c r="C126" s="10" t="s">
        <v>94</v>
      </c>
      <c r="D126" s="10" t="s">
        <v>512</v>
      </c>
      <c r="E126" s="11" t="s">
        <v>520</v>
      </c>
      <c r="F126" s="11" t="s">
        <v>46</v>
      </c>
      <c r="G126" s="11" t="s">
        <v>521</v>
      </c>
      <c r="H126" s="10" t="s">
        <v>16</v>
      </c>
      <c r="I126" s="10" t="s">
        <v>48</v>
      </c>
    </row>
    <row r="127" customFormat="false" ht="15" hidden="false" customHeight="true" outlineLevel="0" collapsed="false">
      <c r="A127" s="10" t="s">
        <v>522</v>
      </c>
      <c r="B127" s="10" t="s">
        <v>511</v>
      </c>
      <c r="C127" s="10" t="s">
        <v>94</v>
      </c>
      <c r="D127" s="10" t="s">
        <v>512</v>
      </c>
      <c r="E127" s="11" t="s">
        <v>523</v>
      </c>
      <c r="F127" s="11" t="s">
        <v>46</v>
      </c>
      <c r="G127" s="11" t="s">
        <v>524</v>
      </c>
      <c r="H127" s="10" t="s">
        <v>16</v>
      </c>
      <c r="I127" s="10" t="s">
        <v>48</v>
      </c>
    </row>
    <row r="128" customFormat="false" ht="15" hidden="false" customHeight="true" outlineLevel="0" collapsed="false">
      <c r="A128" s="10" t="s">
        <v>525</v>
      </c>
      <c r="B128" s="10" t="s">
        <v>511</v>
      </c>
      <c r="C128" s="10" t="s">
        <v>94</v>
      </c>
      <c r="D128" s="10" t="s">
        <v>512</v>
      </c>
      <c r="E128" s="11" t="s">
        <v>526</v>
      </c>
      <c r="F128" s="11" t="s">
        <v>46</v>
      </c>
      <c r="G128" s="11" t="s">
        <v>527</v>
      </c>
      <c r="H128" s="10" t="s">
        <v>16</v>
      </c>
      <c r="I128" s="10" t="s">
        <v>48</v>
      </c>
    </row>
    <row r="129" customFormat="false" ht="15" hidden="false" customHeight="true" outlineLevel="0" collapsed="false">
      <c r="A129" s="10" t="s">
        <v>528</v>
      </c>
      <c r="B129" s="10" t="s">
        <v>529</v>
      </c>
      <c r="C129" s="10" t="s">
        <v>94</v>
      </c>
      <c r="D129" s="10" t="s">
        <v>530</v>
      </c>
      <c r="E129" s="11" t="s">
        <v>531</v>
      </c>
      <c r="F129" s="11" t="s">
        <v>532</v>
      </c>
      <c r="G129" s="11" t="s">
        <v>533</v>
      </c>
      <c r="H129" s="10" t="s">
        <v>16</v>
      </c>
      <c r="I129" s="10" t="s">
        <v>48</v>
      </c>
    </row>
    <row r="130" customFormat="false" ht="15" hidden="false" customHeight="true" outlineLevel="0" collapsed="false">
      <c r="A130" s="10" t="s">
        <v>534</v>
      </c>
      <c r="B130" s="10" t="s">
        <v>529</v>
      </c>
      <c r="C130" s="10" t="s">
        <v>94</v>
      </c>
      <c r="D130" s="10" t="s">
        <v>530</v>
      </c>
      <c r="E130" s="11" t="s">
        <v>535</v>
      </c>
      <c r="F130" s="11" t="s">
        <v>532</v>
      </c>
      <c r="G130" s="11" t="s">
        <v>536</v>
      </c>
      <c r="H130" s="10" t="s">
        <v>16</v>
      </c>
      <c r="I130" s="10" t="s">
        <v>48</v>
      </c>
    </row>
    <row r="131" customFormat="false" ht="23.25" hidden="false" customHeight="true" outlineLevel="0" collapsed="false">
      <c r="A131" s="10" t="s">
        <v>537</v>
      </c>
      <c r="B131" s="10" t="s">
        <v>529</v>
      </c>
      <c r="C131" s="10" t="s">
        <v>94</v>
      </c>
      <c r="D131" s="10" t="s">
        <v>530</v>
      </c>
      <c r="E131" s="11" t="s">
        <v>538</v>
      </c>
      <c r="F131" s="11" t="s">
        <v>46</v>
      </c>
      <c r="G131" s="11" t="s">
        <v>539</v>
      </c>
      <c r="H131" s="10" t="s">
        <v>16</v>
      </c>
      <c r="I131" s="10" t="s">
        <v>48</v>
      </c>
    </row>
    <row r="132" customFormat="false" ht="15" hidden="false" customHeight="true" outlineLevel="0" collapsed="false">
      <c r="A132" s="10" t="s">
        <v>540</v>
      </c>
      <c r="B132" s="10" t="s">
        <v>529</v>
      </c>
      <c r="C132" s="10" t="s">
        <v>94</v>
      </c>
      <c r="D132" s="10" t="s">
        <v>530</v>
      </c>
      <c r="E132" s="11" t="s">
        <v>541</v>
      </c>
      <c r="F132" s="11" t="s">
        <v>542</v>
      </c>
      <c r="G132" s="11" t="s">
        <v>543</v>
      </c>
      <c r="H132" s="10" t="s">
        <v>18</v>
      </c>
      <c r="I132" s="10" t="s">
        <v>48</v>
      </c>
    </row>
    <row r="133" customFormat="false" ht="15" hidden="false" customHeight="true" outlineLevel="0" collapsed="false">
      <c r="A133" s="10" t="s">
        <v>544</v>
      </c>
      <c r="B133" s="10" t="s">
        <v>529</v>
      </c>
      <c r="C133" s="10" t="s">
        <v>94</v>
      </c>
      <c r="D133" s="10" t="s">
        <v>530</v>
      </c>
      <c r="E133" s="11" t="s">
        <v>545</v>
      </c>
      <c r="F133" s="11" t="s">
        <v>46</v>
      </c>
      <c r="G133" s="11" t="s">
        <v>546</v>
      </c>
      <c r="H133" s="10" t="s">
        <v>16</v>
      </c>
      <c r="I133" s="10" t="s">
        <v>48</v>
      </c>
    </row>
    <row r="134" customFormat="false" ht="15" hidden="false" customHeight="true" outlineLevel="0" collapsed="false">
      <c r="A134" s="10" t="s">
        <v>547</v>
      </c>
      <c r="B134" s="10" t="s">
        <v>529</v>
      </c>
      <c r="C134" s="10" t="s">
        <v>94</v>
      </c>
      <c r="D134" s="10" t="s">
        <v>530</v>
      </c>
      <c r="E134" s="11" t="s">
        <v>548</v>
      </c>
      <c r="F134" s="11" t="s">
        <v>46</v>
      </c>
      <c r="G134" s="11" t="s">
        <v>549</v>
      </c>
      <c r="H134" s="10" t="s">
        <v>16</v>
      </c>
      <c r="I134" s="10" t="s">
        <v>48</v>
      </c>
    </row>
    <row r="135" customFormat="false" ht="23.25" hidden="false" customHeight="true" outlineLevel="0" collapsed="false">
      <c r="A135" s="10" t="s">
        <v>550</v>
      </c>
      <c r="B135" s="10" t="s">
        <v>529</v>
      </c>
      <c r="C135" s="10" t="s">
        <v>94</v>
      </c>
      <c r="D135" s="10" t="s">
        <v>530</v>
      </c>
      <c r="E135" s="11" t="s">
        <v>551</v>
      </c>
      <c r="F135" s="11" t="s">
        <v>552</v>
      </c>
      <c r="G135" s="11" t="s">
        <v>553</v>
      </c>
      <c r="H135" s="10" t="s">
        <v>19</v>
      </c>
      <c r="I135" s="10" t="s">
        <v>48</v>
      </c>
    </row>
    <row r="136" customFormat="false" ht="23.25" hidden="false" customHeight="true" outlineLevel="0" collapsed="false">
      <c r="A136" s="10" t="s">
        <v>554</v>
      </c>
      <c r="B136" s="10" t="s">
        <v>555</v>
      </c>
      <c r="C136" s="10" t="s">
        <v>556</v>
      </c>
      <c r="D136" s="10" t="s">
        <v>557</v>
      </c>
      <c r="E136" s="11" t="s">
        <v>558</v>
      </c>
      <c r="F136" s="11" t="s">
        <v>46</v>
      </c>
      <c r="G136" s="11" t="s">
        <v>559</v>
      </c>
      <c r="H136" s="10" t="s">
        <v>16</v>
      </c>
      <c r="I136" s="10" t="s">
        <v>48</v>
      </c>
    </row>
    <row r="137" customFormat="false" ht="15" hidden="false" customHeight="true" outlineLevel="0" collapsed="false">
      <c r="A137" s="10" t="s">
        <v>560</v>
      </c>
      <c r="B137" s="10" t="s">
        <v>555</v>
      </c>
      <c r="C137" s="10" t="s">
        <v>556</v>
      </c>
      <c r="D137" s="10" t="s">
        <v>557</v>
      </c>
      <c r="E137" s="11" t="s">
        <v>561</v>
      </c>
      <c r="F137" s="11" t="s">
        <v>562</v>
      </c>
      <c r="G137" s="11" t="s">
        <v>563</v>
      </c>
      <c r="H137" s="10" t="s">
        <v>16</v>
      </c>
      <c r="I137" s="10" t="s">
        <v>48</v>
      </c>
    </row>
    <row r="138" customFormat="false" ht="15" hidden="false" customHeight="true" outlineLevel="0" collapsed="false">
      <c r="A138" s="10" t="s">
        <v>564</v>
      </c>
      <c r="B138" s="10" t="s">
        <v>555</v>
      </c>
      <c r="C138" s="10" t="s">
        <v>556</v>
      </c>
      <c r="D138" s="10" t="s">
        <v>557</v>
      </c>
      <c r="E138" s="11" t="s">
        <v>565</v>
      </c>
      <c r="F138" s="11" t="s">
        <v>46</v>
      </c>
      <c r="G138" s="11" t="s">
        <v>566</v>
      </c>
      <c r="H138" s="10" t="s">
        <v>19</v>
      </c>
      <c r="I138" s="10" t="s">
        <v>116</v>
      </c>
    </row>
  </sheetData>
  <autoFilter ref="A1:I138"/>
  <conditionalFormatting sqref="I2:I138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68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2" t="s">
        <v>567</v>
      </c>
      <c r="K1" s="12" t="s">
        <v>568</v>
      </c>
      <c r="L1" s="12" t="s">
        <v>569</v>
      </c>
    </row>
    <row r="2" customFormat="false" ht="15" hidden="false" customHeight="true" outlineLevel="0" collapsed="false">
      <c r="A2" s="10" t="s">
        <v>179</v>
      </c>
      <c r="B2" s="10" t="s">
        <v>172</v>
      </c>
      <c r="C2" s="10" t="s">
        <v>94</v>
      </c>
      <c r="D2" s="10" t="s">
        <v>173</v>
      </c>
      <c r="E2" s="11" t="s">
        <v>180</v>
      </c>
      <c r="F2" s="11" t="s">
        <v>181</v>
      </c>
      <c r="G2" s="11" t="s">
        <v>182</v>
      </c>
      <c r="H2" s="10" t="s">
        <v>16</v>
      </c>
      <c r="I2" s="10" t="s">
        <v>183</v>
      </c>
      <c r="J2" s="10"/>
      <c r="K2" s="10"/>
      <c r="L2" s="10"/>
    </row>
    <row r="3" customFormat="false" ht="15" hidden="false" customHeight="true" outlineLevel="0" collapsed="false">
      <c r="A3" s="10" t="s">
        <v>184</v>
      </c>
      <c r="B3" s="10" t="s">
        <v>172</v>
      </c>
      <c r="C3" s="10" t="s">
        <v>94</v>
      </c>
      <c r="D3" s="10" t="s">
        <v>173</v>
      </c>
      <c r="E3" s="11" t="s">
        <v>180</v>
      </c>
      <c r="F3" s="11" t="s">
        <v>46</v>
      </c>
      <c r="G3" s="11" t="s">
        <v>185</v>
      </c>
      <c r="H3" s="10" t="s">
        <v>16</v>
      </c>
      <c r="I3" s="10" t="s">
        <v>183</v>
      </c>
      <c r="J3" s="10"/>
      <c r="K3" s="10"/>
      <c r="L3" s="10"/>
    </row>
    <row r="4" customFormat="false" ht="23.25" hidden="false" customHeight="true" outlineLevel="0" collapsed="false">
      <c r="A4" s="10" t="s">
        <v>272</v>
      </c>
      <c r="B4" s="10" t="s">
        <v>267</v>
      </c>
      <c r="C4" s="10" t="s">
        <v>119</v>
      </c>
      <c r="D4" s="10" t="s">
        <v>268</v>
      </c>
      <c r="E4" s="11" t="s">
        <v>273</v>
      </c>
      <c r="F4" s="11" t="s">
        <v>46</v>
      </c>
      <c r="G4" s="11" t="s">
        <v>274</v>
      </c>
      <c r="H4" s="10" t="s">
        <v>16</v>
      </c>
      <c r="I4" s="10" t="s">
        <v>183</v>
      </c>
      <c r="J4" s="10"/>
      <c r="K4" s="10"/>
      <c r="L4" s="10"/>
    </row>
    <row r="5" customFormat="false" ht="15" hidden="false" customHeight="true" outlineLevel="0" collapsed="false">
      <c r="A5" s="10" t="s">
        <v>454</v>
      </c>
      <c r="B5" s="10" t="s">
        <v>449</v>
      </c>
      <c r="C5" s="10" t="s">
        <v>43</v>
      </c>
      <c r="D5" s="10" t="s">
        <v>450</v>
      </c>
      <c r="E5" s="11" t="s">
        <v>455</v>
      </c>
      <c r="F5" s="11" t="s">
        <v>46</v>
      </c>
      <c r="G5" s="11" t="s">
        <v>456</v>
      </c>
      <c r="H5" s="10" t="s">
        <v>16</v>
      </c>
      <c r="I5" s="10" t="s">
        <v>183</v>
      </c>
      <c r="J5" s="10"/>
      <c r="K5" s="10"/>
      <c r="L5" s="10"/>
    </row>
    <row r="6" customFormat="false" ht="15" hidden="false" customHeight="true" outlineLevel="0" collapsed="false">
      <c r="A6" s="10" t="s">
        <v>41</v>
      </c>
      <c r="B6" s="10" t="s">
        <v>42</v>
      </c>
      <c r="C6" s="10" t="s">
        <v>43</v>
      </c>
      <c r="D6" s="10" t="s">
        <v>44</v>
      </c>
      <c r="E6" s="11" t="s">
        <v>45</v>
      </c>
      <c r="F6" s="11" t="s">
        <v>46</v>
      </c>
      <c r="G6" s="11" t="s">
        <v>47</v>
      </c>
      <c r="H6" s="10" t="s">
        <v>16</v>
      </c>
      <c r="I6" s="10" t="s">
        <v>48</v>
      </c>
      <c r="J6" s="10"/>
      <c r="K6" s="10"/>
      <c r="L6" s="10"/>
    </row>
    <row r="7" customFormat="false" ht="15" hidden="false" customHeight="true" outlineLevel="0" collapsed="false">
      <c r="A7" s="10" t="s">
        <v>49</v>
      </c>
      <c r="B7" s="10" t="s">
        <v>42</v>
      </c>
      <c r="C7" s="10" t="s">
        <v>43</v>
      </c>
      <c r="D7" s="10" t="s">
        <v>44</v>
      </c>
      <c r="E7" s="11" t="s">
        <v>50</v>
      </c>
      <c r="F7" s="11" t="s">
        <v>46</v>
      </c>
      <c r="G7" s="11" t="s">
        <v>51</v>
      </c>
      <c r="H7" s="10" t="s">
        <v>16</v>
      </c>
      <c r="I7" s="10" t="s">
        <v>48</v>
      </c>
      <c r="J7" s="10"/>
      <c r="K7" s="10"/>
      <c r="L7" s="10"/>
    </row>
    <row r="8" customFormat="false" ht="15" hidden="false" customHeight="true" outlineLevel="0" collapsed="false">
      <c r="A8" s="10" t="s">
        <v>52</v>
      </c>
      <c r="B8" s="10" t="s">
        <v>42</v>
      </c>
      <c r="C8" s="10" t="s">
        <v>43</v>
      </c>
      <c r="D8" s="10" t="s">
        <v>44</v>
      </c>
      <c r="E8" s="11" t="s">
        <v>53</v>
      </c>
      <c r="F8" s="11" t="s">
        <v>46</v>
      </c>
      <c r="G8" s="11" t="s">
        <v>54</v>
      </c>
      <c r="H8" s="10" t="s">
        <v>16</v>
      </c>
      <c r="I8" s="10" t="s">
        <v>48</v>
      </c>
      <c r="J8" s="10"/>
      <c r="K8" s="10"/>
      <c r="L8" s="10"/>
    </row>
    <row r="9" customFormat="false" ht="15" hidden="false" customHeight="true" outlineLevel="0" collapsed="false">
      <c r="A9" s="10" t="s">
        <v>55</v>
      </c>
      <c r="B9" s="10" t="s">
        <v>42</v>
      </c>
      <c r="C9" s="10" t="s">
        <v>43</v>
      </c>
      <c r="D9" s="10" t="s">
        <v>44</v>
      </c>
      <c r="E9" s="11" t="s">
        <v>56</v>
      </c>
      <c r="F9" s="11" t="s">
        <v>46</v>
      </c>
      <c r="G9" s="11" t="s">
        <v>57</v>
      </c>
      <c r="H9" s="10" t="s">
        <v>16</v>
      </c>
      <c r="I9" s="10" t="s">
        <v>48</v>
      </c>
      <c r="J9" s="10"/>
      <c r="K9" s="10"/>
      <c r="L9" s="10"/>
    </row>
    <row r="10" customFormat="false" ht="15" hidden="false" customHeight="true" outlineLevel="0" collapsed="false">
      <c r="A10" s="10" t="s">
        <v>75</v>
      </c>
      <c r="B10" s="10" t="s">
        <v>42</v>
      </c>
      <c r="C10" s="10" t="s">
        <v>43</v>
      </c>
      <c r="D10" s="10" t="s">
        <v>44</v>
      </c>
      <c r="E10" s="11" t="s">
        <v>76</v>
      </c>
      <c r="F10" s="11" t="s">
        <v>77</v>
      </c>
      <c r="G10" s="11" t="s">
        <v>78</v>
      </c>
      <c r="H10" s="10" t="s">
        <v>16</v>
      </c>
      <c r="I10" s="10" t="s">
        <v>48</v>
      </c>
      <c r="J10" s="10"/>
      <c r="K10" s="10"/>
      <c r="L10" s="10"/>
    </row>
    <row r="11" customFormat="false" ht="15" hidden="false" customHeight="true" outlineLevel="0" collapsed="false">
      <c r="A11" s="10" t="s">
        <v>79</v>
      </c>
      <c r="B11" s="10" t="s">
        <v>42</v>
      </c>
      <c r="C11" s="10" t="s">
        <v>43</v>
      </c>
      <c r="D11" s="10" t="s">
        <v>44</v>
      </c>
      <c r="E11" s="11" t="s">
        <v>80</v>
      </c>
      <c r="F11" s="11" t="s">
        <v>81</v>
      </c>
      <c r="G11" s="11" t="s">
        <v>78</v>
      </c>
      <c r="H11" s="10" t="s">
        <v>16</v>
      </c>
      <c r="I11" s="10" t="s">
        <v>48</v>
      </c>
      <c r="J11" s="10"/>
      <c r="K11" s="10"/>
      <c r="L11" s="10"/>
    </row>
    <row r="12" customFormat="false" ht="23.25" hidden="false" customHeight="true" outlineLevel="0" collapsed="false">
      <c r="A12" s="10" t="s">
        <v>92</v>
      </c>
      <c r="B12" s="10" t="s">
        <v>93</v>
      </c>
      <c r="C12" s="10" t="s">
        <v>94</v>
      </c>
      <c r="D12" s="10" t="s">
        <v>95</v>
      </c>
      <c r="E12" s="11" t="s">
        <v>96</v>
      </c>
      <c r="F12" s="11" t="s">
        <v>46</v>
      </c>
      <c r="G12" s="11" t="s">
        <v>97</v>
      </c>
      <c r="H12" s="10" t="s">
        <v>16</v>
      </c>
      <c r="I12" s="10" t="s">
        <v>48</v>
      </c>
      <c r="J12" s="10"/>
      <c r="K12" s="10"/>
      <c r="L12" s="10"/>
    </row>
    <row r="13" customFormat="false" ht="15" hidden="false" customHeight="true" outlineLevel="0" collapsed="false">
      <c r="A13" s="10" t="s">
        <v>110</v>
      </c>
      <c r="B13" s="10" t="s">
        <v>93</v>
      </c>
      <c r="C13" s="10" t="s">
        <v>94</v>
      </c>
      <c r="D13" s="10" t="s">
        <v>95</v>
      </c>
      <c r="E13" s="11" t="s">
        <v>111</v>
      </c>
      <c r="F13" s="11" t="s">
        <v>46</v>
      </c>
      <c r="G13" s="11" t="s">
        <v>112</v>
      </c>
      <c r="H13" s="10" t="s">
        <v>16</v>
      </c>
      <c r="I13" s="10" t="s">
        <v>48</v>
      </c>
      <c r="J13" s="10"/>
      <c r="K13" s="10"/>
      <c r="L13" s="10"/>
    </row>
    <row r="14" customFormat="false" ht="15" hidden="false" customHeight="true" outlineLevel="0" collapsed="false">
      <c r="A14" s="10" t="s">
        <v>123</v>
      </c>
      <c r="B14" s="10" t="s">
        <v>118</v>
      </c>
      <c r="C14" s="10" t="s">
        <v>119</v>
      </c>
      <c r="D14" s="10" t="s">
        <v>120</v>
      </c>
      <c r="E14" s="11" t="s">
        <v>124</v>
      </c>
      <c r="F14" s="11" t="s">
        <v>125</v>
      </c>
      <c r="G14" s="11" t="s">
        <v>126</v>
      </c>
      <c r="H14" s="10" t="s">
        <v>16</v>
      </c>
      <c r="I14" s="10" t="s">
        <v>48</v>
      </c>
      <c r="J14" s="10"/>
      <c r="K14" s="10"/>
      <c r="L14" s="10"/>
    </row>
    <row r="15" customFormat="false" ht="15" hidden="false" customHeight="true" outlineLevel="0" collapsed="false">
      <c r="A15" s="10" t="s">
        <v>127</v>
      </c>
      <c r="B15" s="10" t="s">
        <v>118</v>
      </c>
      <c r="C15" s="10" t="s">
        <v>119</v>
      </c>
      <c r="D15" s="10" t="s">
        <v>120</v>
      </c>
      <c r="E15" s="11" t="s">
        <v>128</v>
      </c>
      <c r="F15" s="11" t="s">
        <v>46</v>
      </c>
      <c r="G15" s="11" t="s">
        <v>129</v>
      </c>
      <c r="H15" s="10" t="s">
        <v>16</v>
      </c>
      <c r="I15" s="10" t="s">
        <v>48</v>
      </c>
      <c r="J15" s="10"/>
      <c r="K15" s="10"/>
      <c r="L15" s="10"/>
    </row>
    <row r="16" customFormat="false" ht="15" hidden="false" customHeight="true" outlineLevel="0" collapsed="false">
      <c r="A16" s="10" t="s">
        <v>136</v>
      </c>
      <c r="B16" s="10" t="s">
        <v>137</v>
      </c>
      <c r="C16" s="10" t="s">
        <v>94</v>
      </c>
      <c r="D16" s="10" t="s">
        <v>138</v>
      </c>
      <c r="E16" s="11" t="s">
        <v>139</v>
      </c>
      <c r="F16" s="11" t="s">
        <v>46</v>
      </c>
      <c r="G16" s="11" t="s">
        <v>140</v>
      </c>
      <c r="H16" s="10" t="s">
        <v>16</v>
      </c>
      <c r="I16" s="10" t="s">
        <v>48</v>
      </c>
      <c r="J16" s="10"/>
      <c r="K16" s="10"/>
      <c r="L16" s="10"/>
    </row>
    <row r="17" customFormat="false" ht="23.25" hidden="false" customHeight="true" outlineLevel="0" collapsed="false">
      <c r="A17" s="10" t="s">
        <v>147</v>
      </c>
      <c r="B17" s="10" t="s">
        <v>142</v>
      </c>
      <c r="C17" s="10" t="s">
        <v>94</v>
      </c>
      <c r="D17" s="10" t="s">
        <v>143</v>
      </c>
      <c r="E17" s="11" t="s">
        <v>148</v>
      </c>
      <c r="F17" s="11" t="s">
        <v>46</v>
      </c>
      <c r="G17" s="11" t="s">
        <v>149</v>
      </c>
      <c r="H17" s="10" t="s">
        <v>16</v>
      </c>
      <c r="I17" s="10" t="s">
        <v>48</v>
      </c>
      <c r="J17" s="10"/>
      <c r="K17" s="10"/>
      <c r="L17" s="10"/>
    </row>
    <row r="18" customFormat="false" ht="15" hidden="false" customHeight="true" outlineLevel="0" collapsed="false">
      <c r="A18" s="10" t="s">
        <v>150</v>
      </c>
      <c r="B18" s="10" t="s">
        <v>151</v>
      </c>
      <c r="C18" s="10" t="s">
        <v>94</v>
      </c>
      <c r="D18" s="10" t="s">
        <v>152</v>
      </c>
      <c r="E18" s="11" t="s">
        <v>153</v>
      </c>
      <c r="F18" s="11" t="s">
        <v>46</v>
      </c>
      <c r="G18" s="11" t="s">
        <v>154</v>
      </c>
      <c r="H18" s="10" t="s">
        <v>16</v>
      </c>
      <c r="I18" s="10" t="s">
        <v>48</v>
      </c>
      <c r="J18" s="10"/>
      <c r="K18" s="10"/>
      <c r="L18" s="10"/>
    </row>
    <row r="19" customFormat="false" ht="15" hidden="false" customHeight="true" outlineLevel="0" collapsed="false">
      <c r="A19" s="10" t="s">
        <v>158</v>
      </c>
      <c r="B19" s="10" t="s">
        <v>151</v>
      </c>
      <c r="C19" s="10" t="s">
        <v>94</v>
      </c>
      <c r="D19" s="10" t="s">
        <v>152</v>
      </c>
      <c r="E19" s="11" t="s">
        <v>159</v>
      </c>
      <c r="F19" s="11" t="s">
        <v>160</v>
      </c>
      <c r="G19" s="11" t="s">
        <v>161</v>
      </c>
      <c r="H19" s="10" t="s">
        <v>16</v>
      </c>
      <c r="I19" s="10" t="s">
        <v>48</v>
      </c>
      <c r="J19" s="10"/>
      <c r="K19" s="10"/>
      <c r="L19" s="10"/>
    </row>
    <row r="20" customFormat="false" ht="15" hidden="false" customHeight="true" outlineLevel="0" collapsed="false">
      <c r="A20" s="10" t="s">
        <v>162</v>
      </c>
      <c r="B20" s="10" t="s">
        <v>151</v>
      </c>
      <c r="C20" s="10" t="s">
        <v>94</v>
      </c>
      <c r="D20" s="10" t="s">
        <v>152</v>
      </c>
      <c r="E20" s="11" t="s">
        <v>163</v>
      </c>
      <c r="F20" s="11" t="s">
        <v>160</v>
      </c>
      <c r="G20" s="11" t="s">
        <v>164</v>
      </c>
      <c r="H20" s="10" t="s">
        <v>16</v>
      </c>
      <c r="I20" s="10" t="s">
        <v>48</v>
      </c>
      <c r="J20" s="10"/>
      <c r="K20" s="10"/>
      <c r="L20" s="10"/>
    </row>
    <row r="21" customFormat="false" ht="15" hidden="false" customHeight="true" outlineLevel="0" collapsed="false">
      <c r="A21" s="10" t="s">
        <v>165</v>
      </c>
      <c r="B21" s="10" t="s">
        <v>151</v>
      </c>
      <c r="C21" s="10" t="s">
        <v>94</v>
      </c>
      <c r="D21" s="10" t="s">
        <v>152</v>
      </c>
      <c r="E21" s="11" t="s">
        <v>166</v>
      </c>
      <c r="F21" s="11" t="s">
        <v>46</v>
      </c>
      <c r="G21" s="11" t="s">
        <v>167</v>
      </c>
      <c r="H21" s="10" t="s">
        <v>16</v>
      </c>
      <c r="I21" s="10" t="s">
        <v>48</v>
      </c>
      <c r="J21" s="10"/>
      <c r="K21" s="10"/>
      <c r="L21" s="10"/>
    </row>
    <row r="22" customFormat="false" ht="23.25" hidden="false" customHeight="true" outlineLevel="0" collapsed="false">
      <c r="A22" s="10" t="s">
        <v>168</v>
      </c>
      <c r="B22" s="10" t="s">
        <v>151</v>
      </c>
      <c r="C22" s="10" t="s">
        <v>94</v>
      </c>
      <c r="D22" s="10" t="s">
        <v>152</v>
      </c>
      <c r="E22" s="11" t="s">
        <v>169</v>
      </c>
      <c r="F22" s="11" t="s">
        <v>46</v>
      </c>
      <c r="G22" s="11" t="s">
        <v>170</v>
      </c>
      <c r="H22" s="10" t="s">
        <v>16</v>
      </c>
      <c r="I22" s="10" t="s">
        <v>48</v>
      </c>
      <c r="J22" s="10"/>
      <c r="K22" s="10"/>
      <c r="L22" s="10"/>
    </row>
    <row r="23" customFormat="false" ht="15" hidden="false" customHeight="true" outlineLevel="0" collapsed="false">
      <c r="A23" s="10" t="s">
        <v>171</v>
      </c>
      <c r="B23" s="10" t="s">
        <v>172</v>
      </c>
      <c r="C23" s="10" t="s">
        <v>94</v>
      </c>
      <c r="D23" s="10" t="s">
        <v>173</v>
      </c>
      <c r="E23" s="11" t="s">
        <v>174</v>
      </c>
      <c r="F23" s="11" t="s">
        <v>46</v>
      </c>
      <c r="G23" s="11" t="s">
        <v>175</v>
      </c>
      <c r="H23" s="10" t="s">
        <v>16</v>
      </c>
      <c r="I23" s="10" t="s">
        <v>48</v>
      </c>
      <c r="J23" s="10"/>
      <c r="K23" s="10"/>
      <c r="L23" s="10"/>
    </row>
    <row r="24" customFormat="false" ht="15" hidden="false" customHeight="true" outlineLevel="0" collapsed="false">
      <c r="A24" s="10" t="s">
        <v>176</v>
      </c>
      <c r="B24" s="10" t="s">
        <v>172</v>
      </c>
      <c r="C24" s="10" t="s">
        <v>94</v>
      </c>
      <c r="D24" s="10" t="s">
        <v>173</v>
      </c>
      <c r="E24" s="11" t="s">
        <v>177</v>
      </c>
      <c r="F24" s="11" t="s">
        <v>46</v>
      </c>
      <c r="G24" s="11" t="s">
        <v>178</v>
      </c>
      <c r="H24" s="10" t="s">
        <v>16</v>
      </c>
      <c r="I24" s="10" t="s">
        <v>48</v>
      </c>
      <c r="J24" s="10"/>
      <c r="K24" s="10"/>
      <c r="L24" s="10"/>
    </row>
    <row r="25" customFormat="false" ht="15" hidden="false" customHeight="true" outlineLevel="0" collapsed="false">
      <c r="A25" s="10" t="s">
        <v>186</v>
      </c>
      <c r="B25" s="10" t="s">
        <v>172</v>
      </c>
      <c r="C25" s="10" t="s">
        <v>94</v>
      </c>
      <c r="D25" s="10" t="s">
        <v>173</v>
      </c>
      <c r="E25" s="11" t="s">
        <v>187</v>
      </c>
      <c r="F25" s="11" t="s">
        <v>46</v>
      </c>
      <c r="G25" s="11" t="s">
        <v>188</v>
      </c>
      <c r="H25" s="10" t="s">
        <v>16</v>
      </c>
      <c r="I25" s="10" t="s">
        <v>48</v>
      </c>
      <c r="J25" s="10"/>
      <c r="K25" s="10"/>
      <c r="L25" s="10"/>
    </row>
    <row r="26" customFormat="false" ht="15" hidden="false" customHeight="true" outlineLevel="0" collapsed="false">
      <c r="A26" s="10" t="s">
        <v>201</v>
      </c>
      <c r="B26" s="10" t="s">
        <v>196</v>
      </c>
      <c r="C26" s="10" t="s">
        <v>94</v>
      </c>
      <c r="D26" s="10" t="s">
        <v>197</v>
      </c>
      <c r="E26" s="11" t="s">
        <v>202</v>
      </c>
      <c r="F26" s="11" t="s">
        <v>46</v>
      </c>
      <c r="G26" s="11" t="s">
        <v>203</v>
      </c>
      <c r="H26" s="10" t="s">
        <v>16</v>
      </c>
      <c r="I26" s="10" t="s">
        <v>48</v>
      </c>
      <c r="J26" s="10"/>
      <c r="K26" s="10"/>
      <c r="L26" s="10"/>
    </row>
    <row r="27" customFormat="false" ht="15" hidden="false" customHeight="true" outlineLevel="0" collapsed="false">
      <c r="A27" s="10" t="s">
        <v>206</v>
      </c>
      <c r="B27" s="10" t="s">
        <v>207</v>
      </c>
      <c r="C27" s="10" t="s">
        <v>94</v>
      </c>
      <c r="D27" s="10" t="s">
        <v>208</v>
      </c>
      <c r="E27" s="11" t="s">
        <v>209</v>
      </c>
      <c r="F27" s="11" t="s">
        <v>210</v>
      </c>
      <c r="G27" s="11" t="s">
        <v>211</v>
      </c>
      <c r="H27" s="10" t="s">
        <v>16</v>
      </c>
      <c r="I27" s="10" t="s">
        <v>48</v>
      </c>
      <c r="J27" s="10"/>
      <c r="K27" s="10"/>
      <c r="L27" s="10"/>
    </row>
    <row r="28" customFormat="false" ht="15" hidden="false" customHeight="true" outlineLevel="0" collapsed="false">
      <c r="A28" s="10" t="s">
        <v>212</v>
      </c>
      <c r="B28" s="10" t="s">
        <v>207</v>
      </c>
      <c r="C28" s="10" t="s">
        <v>94</v>
      </c>
      <c r="D28" s="10" t="s">
        <v>208</v>
      </c>
      <c r="E28" s="11" t="s">
        <v>213</v>
      </c>
      <c r="F28" s="11" t="s">
        <v>214</v>
      </c>
      <c r="G28" s="11" t="s">
        <v>215</v>
      </c>
      <c r="H28" s="10" t="s">
        <v>16</v>
      </c>
      <c r="I28" s="10" t="s">
        <v>48</v>
      </c>
      <c r="J28" s="10"/>
      <c r="K28" s="10"/>
      <c r="L28" s="10"/>
    </row>
    <row r="29" customFormat="false" ht="15" hidden="false" customHeight="true" outlineLevel="0" collapsed="false">
      <c r="A29" s="10" t="s">
        <v>230</v>
      </c>
      <c r="B29" s="10" t="s">
        <v>231</v>
      </c>
      <c r="C29" s="10" t="s">
        <v>94</v>
      </c>
      <c r="D29" s="10" t="s">
        <v>232</v>
      </c>
      <c r="E29" s="11" t="s">
        <v>233</v>
      </c>
      <c r="F29" s="11" t="s">
        <v>234</v>
      </c>
      <c r="G29" s="11" t="s">
        <v>235</v>
      </c>
      <c r="H29" s="10" t="s">
        <v>16</v>
      </c>
      <c r="I29" s="10" t="s">
        <v>48</v>
      </c>
      <c r="J29" s="10"/>
      <c r="K29" s="10"/>
      <c r="L29" s="10"/>
    </row>
    <row r="30" customFormat="false" ht="15" hidden="false" customHeight="true" outlineLevel="0" collapsed="false">
      <c r="A30" s="10" t="s">
        <v>236</v>
      </c>
      <c r="B30" s="10" t="s">
        <v>237</v>
      </c>
      <c r="C30" s="10" t="s">
        <v>119</v>
      </c>
      <c r="D30" s="10" t="s">
        <v>238</v>
      </c>
      <c r="E30" s="11" t="s">
        <v>239</v>
      </c>
      <c r="F30" s="11" t="s">
        <v>46</v>
      </c>
      <c r="G30" s="11" t="s">
        <v>240</v>
      </c>
      <c r="H30" s="10" t="s">
        <v>16</v>
      </c>
      <c r="I30" s="10" t="s">
        <v>48</v>
      </c>
      <c r="J30" s="10"/>
      <c r="K30" s="10"/>
      <c r="L30" s="10"/>
    </row>
    <row r="31" customFormat="false" ht="15" hidden="false" customHeight="true" outlineLevel="0" collapsed="false">
      <c r="A31" s="10" t="s">
        <v>259</v>
      </c>
      <c r="B31" s="10" t="s">
        <v>246</v>
      </c>
      <c r="C31" s="10" t="s">
        <v>43</v>
      </c>
      <c r="D31" s="10" t="s">
        <v>247</v>
      </c>
      <c r="E31" s="11" t="s">
        <v>260</v>
      </c>
      <c r="F31" s="11" t="s">
        <v>261</v>
      </c>
      <c r="G31" s="11" t="s">
        <v>262</v>
      </c>
      <c r="H31" s="10" t="s">
        <v>16</v>
      </c>
      <c r="I31" s="10" t="s">
        <v>48</v>
      </c>
      <c r="J31" s="10"/>
      <c r="K31" s="10"/>
      <c r="L31" s="10"/>
    </row>
    <row r="32" customFormat="false" ht="15" hidden="false" customHeight="true" outlineLevel="0" collapsed="false">
      <c r="A32" s="10" t="s">
        <v>263</v>
      </c>
      <c r="B32" s="10" t="s">
        <v>246</v>
      </c>
      <c r="C32" s="10" t="s">
        <v>43</v>
      </c>
      <c r="D32" s="10" t="s">
        <v>247</v>
      </c>
      <c r="E32" s="11" t="s">
        <v>264</v>
      </c>
      <c r="F32" s="11" t="s">
        <v>261</v>
      </c>
      <c r="G32" s="11" t="s">
        <v>265</v>
      </c>
      <c r="H32" s="10" t="s">
        <v>16</v>
      </c>
      <c r="I32" s="10" t="s">
        <v>48</v>
      </c>
      <c r="J32" s="10"/>
      <c r="K32" s="10"/>
      <c r="L32" s="10"/>
    </row>
    <row r="33" customFormat="false" ht="23.25" hidden="false" customHeight="true" outlineLevel="0" collapsed="false">
      <c r="A33" s="10" t="s">
        <v>266</v>
      </c>
      <c r="B33" s="10" t="s">
        <v>267</v>
      </c>
      <c r="C33" s="10" t="s">
        <v>119</v>
      </c>
      <c r="D33" s="10" t="s">
        <v>268</v>
      </c>
      <c r="E33" s="11" t="s">
        <v>269</v>
      </c>
      <c r="F33" s="11" t="s">
        <v>270</v>
      </c>
      <c r="G33" s="11" t="s">
        <v>271</v>
      </c>
      <c r="H33" s="10" t="s">
        <v>16</v>
      </c>
      <c r="I33" s="10" t="s">
        <v>48</v>
      </c>
      <c r="J33" s="10"/>
      <c r="K33" s="10"/>
      <c r="L33" s="10"/>
    </row>
    <row r="34" customFormat="false" ht="15" hidden="false" customHeight="true" outlineLevel="0" collapsed="false">
      <c r="A34" s="10" t="s">
        <v>275</v>
      </c>
      <c r="B34" s="10" t="s">
        <v>267</v>
      </c>
      <c r="C34" s="10" t="s">
        <v>119</v>
      </c>
      <c r="D34" s="10" t="s">
        <v>268</v>
      </c>
      <c r="E34" s="11" t="s">
        <v>276</v>
      </c>
      <c r="F34" s="11" t="s">
        <v>46</v>
      </c>
      <c r="G34" s="11" t="s">
        <v>277</v>
      </c>
      <c r="H34" s="10" t="s">
        <v>16</v>
      </c>
      <c r="I34" s="10" t="s">
        <v>48</v>
      </c>
      <c r="J34" s="10"/>
      <c r="K34" s="10"/>
      <c r="L34" s="10"/>
    </row>
    <row r="35" customFormat="false" ht="15" hidden="false" customHeight="true" outlineLevel="0" collapsed="false">
      <c r="A35" s="10" t="s">
        <v>281</v>
      </c>
      <c r="B35" s="10" t="s">
        <v>282</v>
      </c>
      <c r="C35" s="10" t="s">
        <v>119</v>
      </c>
      <c r="D35" s="10" t="s">
        <v>283</v>
      </c>
      <c r="E35" s="11" t="s">
        <v>284</v>
      </c>
      <c r="F35" s="11" t="s">
        <v>46</v>
      </c>
      <c r="G35" s="11" t="s">
        <v>285</v>
      </c>
      <c r="H35" s="10" t="s">
        <v>16</v>
      </c>
      <c r="I35" s="10" t="s">
        <v>48</v>
      </c>
      <c r="J35" s="10"/>
      <c r="K35" s="10"/>
      <c r="L35" s="10"/>
    </row>
    <row r="36" customFormat="false" ht="15" hidden="false" customHeight="true" outlineLevel="0" collapsed="false">
      <c r="A36" s="10" t="s">
        <v>290</v>
      </c>
      <c r="B36" s="10" t="s">
        <v>282</v>
      </c>
      <c r="C36" s="10" t="s">
        <v>119</v>
      </c>
      <c r="D36" s="10" t="s">
        <v>283</v>
      </c>
      <c r="E36" s="11" t="s">
        <v>291</v>
      </c>
      <c r="F36" s="11" t="s">
        <v>46</v>
      </c>
      <c r="G36" s="11" t="s">
        <v>292</v>
      </c>
      <c r="H36" s="10" t="s">
        <v>16</v>
      </c>
      <c r="I36" s="10" t="s">
        <v>48</v>
      </c>
      <c r="J36" s="10"/>
      <c r="K36" s="10"/>
      <c r="L36" s="10"/>
    </row>
    <row r="37" customFormat="false" ht="15" hidden="false" customHeight="true" outlineLevel="0" collapsed="false">
      <c r="A37" s="10" t="s">
        <v>293</v>
      </c>
      <c r="B37" s="10" t="s">
        <v>282</v>
      </c>
      <c r="C37" s="10" t="s">
        <v>119</v>
      </c>
      <c r="D37" s="10" t="s">
        <v>283</v>
      </c>
      <c r="E37" s="11" t="s">
        <v>294</v>
      </c>
      <c r="F37" s="11" t="s">
        <v>46</v>
      </c>
      <c r="G37" s="11" t="s">
        <v>295</v>
      </c>
      <c r="H37" s="10" t="s">
        <v>16</v>
      </c>
      <c r="I37" s="10" t="s">
        <v>48</v>
      </c>
      <c r="J37" s="10"/>
      <c r="K37" s="10"/>
      <c r="L37" s="10"/>
    </row>
    <row r="38" customFormat="false" ht="15" hidden="false" customHeight="true" outlineLevel="0" collapsed="false">
      <c r="A38" s="10" t="s">
        <v>296</v>
      </c>
      <c r="B38" s="10" t="s">
        <v>282</v>
      </c>
      <c r="C38" s="10" t="s">
        <v>119</v>
      </c>
      <c r="D38" s="10" t="s">
        <v>283</v>
      </c>
      <c r="E38" s="11" t="s">
        <v>297</v>
      </c>
      <c r="F38" s="11" t="s">
        <v>46</v>
      </c>
      <c r="G38" s="11" t="s">
        <v>298</v>
      </c>
      <c r="H38" s="10" t="s">
        <v>16</v>
      </c>
      <c r="I38" s="10" t="s">
        <v>48</v>
      </c>
      <c r="J38" s="10"/>
      <c r="K38" s="10"/>
      <c r="L38" s="10"/>
    </row>
    <row r="39" customFormat="false" ht="23.25" hidden="false" customHeight="true" outlineLevel="0" collapsed="false">
      <c r="A39" s="10" t="s">
        <v>299</v>
      </c>
      <c r="B39" s="10" t="s">
        <v>300</v>
      </c>
      <c r="C39" s="10" t="s">
        <v>119</v>
      </c>
      <c r="D39" s="10" t="s">
        <v>301</v>
      </c>
      <c r="E39" s="11" t="s">
        <v>302</v>
      </c>
      <c r="F39" s="11" t="s">
        <v>46</v>
      </c>
      <c r="G39" s="11" t="s">
        <v>303</v>
      </c>
      <c r="H39" s="10" t="s">
        <v>16</v>
      </c>
      <c r="I39" s="10" t="s">
        <v>48</v>
      </c>
      <c r="J39" s="10"/>
      <c r="K39" s="10"/>
      <c r="L39" s="10"/>
    </row>
    <row r="40" customFormat="false" ht="23.25" hidden="false" customHeight="true" outlineLevel="0" collapsed="false">
      <c r="A40" s="10" t="s">
        <v>304</v>
      </c>
      <c r="B40" s="10" t="s">
        <v>300</v>
      </c>
      <c r="C40" s="10" t="s">
        <v>119</v>
      </c>
      <c r="D40" s="10" t="s">
        <v>301</v>
      </c>
      <c r="E40" s="11" t="s">
        <v>305</v>
      </c>
      <c r="F40" s="11" t="s">
        <v>46</v>
      </c>
      <c r="G40" s="11" t="s">
        <v>306</v>
      </c>
      <c r="H40" s="10" t="s">
        <v>16</v>
      </c>
      <c r="I40" s="10" t="s">
        <v>48</v>
      </c>
      <c r="J40" s="10"/>
      <c r="K40" s="10"/>
      <c r="L40" s="10"/>
    </row>
    <row r="41" customFormat="false" ht="23.25" hidden="false" customHeight="true" outlineLevel="0" collapsed="false">
      <c r="A41" s="10" t="s">
        <v>331</v>
      </c>
      <c r="B41" s="10" t="s">
        <v>332</v>
      </c>
      <c r="C41" s="10" t="s">
        <v>94</v>
      </c>
      <c r="D41" s="10" t="s">
        <v>333</v>
      </c>
      <c r="E41" s="11" t="s">
        <v>334</v>
      </c>
      <c r="F41" s="11" t="s">
        <v>335</v>
      </c>
      <c r="G41" s="11" t="s">
        <v>336</v>
      </c>
      <c r="H41" s="10" t="s">
        <v>16</v>
      </c>
      <c r="I41" s="10" t="s">
        <v>48</v>
      </c>
      <c r="J41" s="10"/>
      <c r="K41" s="10"/>
      <c r="L41" s="10"/>
    </row>
    <row r="42" customFormat="false" ht="23.25" hidden="false" customHeight="true" outlineLevel="0" collapsed="false">
      <c r="A42" s="10" t="s">
        <v>337</v>
      </c>
      <c r="B42" s="10" t="s">
        <v>332</v>
      </c>
      <c r="C42" s="10" t="s">
        <v>94</v>
      </c>
      <c r="D42" s="10" t="s">
        <v>333</v>
      </c>
      <c r="E42" s="11" t="s">
        <v>338</v>
      </c>
      <c r="F42" s="11" t="s">
        <v>335</v>
      </c>
      <c r="G42" s="11" t="s">
        <v>339</v>
      </c>
      <c r="H42" s="10" t="s">
        <v>16</v>
      </c>
      <c r="I42" s="10" t="s">
        <v>48</v>
      </c>
      <c r="J42" s="10"/>
      <c r="K42" s="10"/>
      <c r="L42" s="10"/>
    </row>
    <row r="43" customFormat="false" ht="23.25" hidden="false" customHeight="true" outlineLevel="0" collapsed="false">
      <c r="A43" s="10" t="s">
        <v>343</v>
      </c>
      <c r="B43" s="10" t="s">
        <v>332</v>
      </c>
      <c r="C43" s="10" t="s">
        <v>94</v>
      </c>
      <c r="D43" s="10" t="s">
        <v>333</v>
      </c>
      <c r="E43" s="11" t="s">
        <v>344</v>
      </c>
      <c r="F43" s="11" t="s">
        <v>46</v>
      </c>
      <c r="G43" s="11" t="s">
        <v>345</v>
      </c>
      <c r="H43" s="10" t="s">
        <v>16</v>
      </c>
      <c r="I43" s="10" t="s">
        <v>48</v>
      </c>
      <c r="J43" s="10"/>
      <c r="K43" s="10"/>
      <c r="L43" s="10"/>
    </row>
    <row r="44" customFormat="false" ht="15" hidden="false" customHeight="true" outlineLevel="0" collapsed="false">
      <c r="A44" s="10" t="s">
        <v>355</v>
      </c>
      <c r="B44" s="10" t="s">
        <v>347</v>
      </c>
      <c r="C44" s="10" t="s">
        <v>94</v>
      </c>
      <c r="D44" s="10" t="s">
        <v>348</v>
      </c>
      <c r="E44" s="11" t="s">
        <v>356</v>
      </c>
      <c r="F44" s="11" t="s">
        <v>46</v>
      </c>
      <c r="G44" s="11" t="s">
        <v>357</v>
      </c>
      <c r="H44" s="10" t="s">
        <v>16</v>
      </c>
      <c r="I44" s="10" t="s">
        <v>48</v>
      </c>
      <c r="J44" s="10"/>
      <c r="K44" s="10"/>
      <c r="L44" s="10"/>
    </row>
    <row r="45" customFormat="false" ht="23.25" hidden="false" customHeight="true" outlineLevel="0" collapsed="false">
      <c r="A45" s="10" t="s">
        <v>362</v>
      </c>
      <c r="B45" s="10" t="s">
        <v>347</v>
      </c>
      <c r="C45" s="10" t="s">
        <v>94</v>
      </c>
      <c r="D45" s="10" t="s">
        <v>348</v>
      </c>
      <c r="E45" s="11" t="s">
        <v>363</v>
      </c>
      <c r="F45" s="11" t="s">
        <v>46</v>
      </c>
      <c r="G45" s="11" t="s">
        <v>364</v>
      </c>
      <c r="H45" s="10" t="s">
        <v>16</v>
      </c>
      <c r="I45" s="10" t="s">
        <v>48</v>
      </c>
      <c r="J45" s="10"/>
      <c r="K45" s="10"/>
      <c r="L45" s="10"/>
    </row>
    <row r="46" customFormat="false" ht="15" hidden="false" customHeight="true" outlineLevel="0" collapsed="false">
      <c r="A46" s="10" t="s">
        <v>379</v>
      </c>
      <c r="B46" s="10" t="s">
        <v>380</v>
      </c>
      <c r="C46" s="10" t="s">
        <v>381</v>
      </c>
      <c r="D46" s="10" t="s">
        <v>382</v>
      </c>
      <c r="E46" s="11" t="s">
        <v>383</v>
      </c>
      <c r="F46" s="11" t="s">
        <v>46</v>
      </c>
      <c r="G46" s="11" t="s">
        <v>384</v>
      </c>
      <c r="H46" s="10" t="s">
        <v>16</v>
      </c>
      <c r="I46" s="10" t="s">
        <v>48</v>
      </c>
      <c r="J46" s="10"/>
      <c r="K46" s="10"/>
      <c r="L46" s="10"/>
    </row>
    <row r="47" customFormat="false" ht="15" hidden="false" customHeight="true" outlineLevel="0" collapsed="false">
      <c r="A47" s="10" t="s">
        <v>307</v>
      </c>
      <c r="B47" s="10" t="s">
        <v>308</v>
      </c>
      <c r="C47" s="10" t="s">
        <v>119</v>
      </c>
      <c r="D47" s="10" t="s">
        <v>309</v>
      </c>
      <c r="E47" s="11" t="s">
        <v>310</v>
      </c>
      <c r="F47" s="11" t="s">
        <v>46</v>
      </c>
      <c r="G47" s="11" t="s">
        <v>311</v>
      </c>
      <c r="H47" s="10" t="s">
        <v>16</v>
      </c>
      <c r="I47" s="10" t="s">
        <v>48</v>
      </c>
      <c r="J47" s="10"/>
      <c r="K47" s="10"/>
      <c r="L47" s="10"/>
    </row>
    <row r="48" customFormat="false" ht="15" hidden="false" customHeight="true" outlineLevel="0" collapsed="false">
      <c r="A48" s="10" t="s">
        <v>316</v>
      </c>
      <c r="B48" s="10" t="s">
        <v>308</v>
      </c>
      <c r="C48" s="10" t="s">
        <v>119</v>
      </c>
      <c r="D48" s="10" t="s">
        <v>309</v>
      </c>
      <c r="E48" s="11" t="s">
        <v>317</v>
      </c>
      <c r="F48" s="11" t="s">
        <v>46</v>
      </c>
      <c r="G48" s="11" t="s">
        <v>318</v>
      </c>
      <c r="H48" s="10" t="s">
        <v>16</v>
      </c>
      <c r="I48" s="10" t="s">
        <v>48</v>
      </c>
      <c r="J48" s="10"/>
      <c r="K48" s="10"/>
      <c r="L48" s="10"/>
    </row>
    <row r="49" customFormat="false" ht="15" hidden="false" customHeight="true" outlineLevel="0" collapsed="false">
      <c r="A49" s="10" t="s">
        <v>319</v>
      </c>
      <c r="B49" s="10" t="s">
        <v>308</v>
      </c>
      <c r="C49" s="10" t="s">
        <v>119</v>
      </c>
      <c r="D49" s="10" t="s">
        <v>309</v>
      </c>
      <c r="E49" s="11" t="s">
        <v>320</v>
      </c>
      <c r="F49" s="11" t="s">
        <v>46</v>
      </c>
      <c r="G49" s="11" t="s">
        <v>321</v>
      </c>
      <c r="H49" s="10" t="s">
        <v>16</v>
      </c>
      <c r="I49" s="10" t="s">
        <v>48</v>
      </c>
      <c r="J49" s="10"/>
      <c r="K49" s="10"/>
      <c r="L49" s="10"/>
    </row>
    <row r="50" customFormat="false" ht="15" hidden="false" customHeight="true" outlineLevel="0" collapsed="false">
      <c r="A50" s="10" t="s">
        <v>322</v>
      </c>
      <c r="B50" s="10" t="s">
        <v>308</v>
      </c>
      <c r="C50" s="10" t="s">
        <v>119</v>
      </c>
      <c r="D50" s="10" t="s">
        <v>309</v>
      </c>
      <c r="E50" s="11" t="s">
        <v>323</v>
      </c>
      <c r="F50" s="11" t="s">
        <v>46</v>
      </c>
      <c r="G50" s="11" t="s">
        <v>324</v>
      </c>
      <c r="H50" s="10" t="s">
        <v>16</v>
      </c>
      <c r="I50" s="10" t="s">
        <v>48</v>
      </c>
      <c r="J50" s="10"/>
      <c r="K50" s="10"/>
      <c r="L50" s="10"/>
    </row>
    <row r="51" customFormat="false" ht="15" hidden="false" customHeight="true" outlineLevel="0" collapsed="false">
      <c r="A51" s="10" t="s">
        <v>394</v>
      </c>
      <c r="B51" s="10" t="s">
        <v>389</v>
      </c>
      <c r="C51" s="10" t="s">
        <v>381</v>
      </c>
      <c r="D51" s="10" t="s">
        <v>390</v>
      </c>
      <c r="E51" s="11" t="s">
        <v>395</v>
      </c>
      <c r="F51" s="11" t="s">
        <v>46</v>
      </c>
      <c r="G51" s="11" t="s">
        <v>396</v>
      </c>
      <c r="H51" s="10" t="s">
        <v>16</v>
      </c>
      <c r="I51" s="10" t="s">
        <v>48</v>
      </c>
      <c r="J51" s="10"/>
      <c r="K51" s="10"/>
      <c r="L51" s="10"/>
    </row>
    <row r="52" customFormat="false" ht="23.25" hidden="false" customHeight="true" outlineLevel="0" collapsed="false">
      <c r="A52" s="10" t="s">
        <v>397</v>
      </c>
      <c r="B52" s="10" t="s">
        <v>389</v>
      </c>
      <c r="C52" s="10" t="s">
        <v>381</v>
      </c>
      <c r="D52" s="10" t="s">
        <v>390</v>
      </c>
      <c r="E52" s="11" t="s">
        <v>398</v>
      </c>
      <c r="F52" s="11" t="s">
        <v>46</v>
      </c>
      <c r="G52" s="11" t="s">
        <v>399</v>
      </c>
      <c r="H52" s="10" t="s">
        <v>16</v>
      </c>
      <c r="I52" s="10" t="s">
        <v>48</v>
      </c>
      <c r="J52" s="10"/>
      <c r="K52" s="10"/>
      <c r="L52" s="10"/>
    </row>
    <row r="53" customFormat="false" ht="23.25" hidden="false" customHeight="true" outlineLevel="0" collapsed="false">
      <c r="A53" s="10" t="s">
        <v>400</v>
      </c>
      <c r="B53" s="10" t="s">
        <v>389</v>
      </c>
      <c r="C53" s="10" t="s">
        <v>381</v>
      </c>
      <c r="D53" s="10" t="s">
        <v>390</v>
      </c>
      <c r="E53" s="11" t="s">
        <v>401</v>
      </c>
      <c r="F53" s="11" t="s">
        <v>46</v>
      </c>
      <c r="G53" s="11" t="s">
        <v>402</v>
      </c>
      <c r="H53" s="10" t="s">
        <v>16</v>
      </c>
      <c r="I53" s="10" t="s">
        <v>48</v>
      </c>
      <c r="J53" s="10"/>
      <c r="K53" s="10"/>
      <c r="L53" s="10"/>
    </row>
    <row r="54" customFormat="false" ht="23.25" hidden="false" customHeight="true" outlineLevel="0" collapsed="false">
      <c r="A54" s="10" t="s">
        <v>403</v>
      </c>
      <c r="B54" s="10" t="s">
        <v>389</v>
      </c>
      <c r="C54" s="10" t="s">
        <v>381</v>
      </c>
      <c r="D54" s="10" t="s">
        <v>390</v>
      </c>
      <c r="E54" s="11" t="s">
        <v>404</v>
      </c>
      <c r="F54" s="11" t="s">
        <v>46</v>
      </c>
      <c r="G54" s="11" t="s">
        <v>405</v>
      </c>
      <c r="H54" s="10" t="s">
        <v>16</v>
      </c>
      <c r="I54" s="10" t="s">
        <v>48</v>
      </c>
      <c r="J54" s="10"/>
      <c r="K54" s="10"/>
      <c r="L54" s="10"/>
    </row>
    <row r="55" customFormat="false" ht="15" hidden="false" customHeight="true" outlineLevel="0" collapsed="false">
      <c r="A55" s="10" t="s">
        <v>406</v>
      </c>
      <c r="B55" s="10" t="s">
        <v>407</v>
      </c>
      <c r="C55" s="10" t="s">
        <v>94</v>
      </c>
      <c r="D55" s="10" t="s">
        <v>408</v>
      </c>
      <c r="E55" s="11" t="s">
        <v>409</v>
      </c>
      <c r="F55" s="11" t="s">
        <v>46</v>
      </c>
      <c r="G55" s="11" t="s">
        <v>410</v>
      </c>
      <c r="H55" s="10" t="s">
        <v>16</v>
      </c>
      <c r="I55" s="10" t="s">
        <v>48</v>
      </c>
      <c r="J55" s="10"/>
      <c r="K55" s="10"/>
      <c r="L55" s="10"/>
    </row>
    <row r="56" customFormat="false" ht="15" hidden="false" customHeight="true" outlineLevel="0" collapsed="false">
      <c r="A56" s="10" t="s">
        <v>417</v>
      </c>
      <c r="B56" s="10" t="s">
        <v>418</v>
      </c>
      <c r="C56" s="10" t="s">
        <v>381</v>
      </c>
      <c r="D56" s="10" t="s">
        <v>419</v>
      </c>
      <c r="E56" s="11" t="s">
        <v>420</v>
      </c>
      <c r="F56" s="11" t="s">
        <v>421</v>
      </c>
      <c r="G56" s="11" t="s">
        <v>422</v>
      </c>
      <c r="H56" s="10" t="s">
        <v>16</v>
      </c>
      <c r="I56" s="10" t="s">
        <v>48</v>
      </c>
      <c r="J56" s="10"/>
      <c r="K56" s="10"/>
      <c r="L56" s="10"/>
    </row>
    <row r="57" customFormat="false" ht="23.25" hidden="false" customHeight="true" outlineLevel="0" collapsed="false">
      <c r="A57" s="10" t="s">
        <v>423</v>
      </c>
      <c r="B57" s="10" t="s">
        <v>418</v>
      </c>
      <c r="C57" s="10" t="s">
        <v>381</v>
      </c>
      <c r="D57" s="10" t="s">
        <v>419</v>
      </c>
      <c r="E57" s="11" t="s">
        <v>424</v>
      </c>
      <c r="F57" s="11" t="s">
        <v>425</v>
      </c>
      <c r="G57" s="11" t="s">
        <v>426</v>
      </c>
      <c r="H57" s="10" t="s">
        <v>16</v>
      </c>
      <c r="I57" s="10" t="s">
        <v>48</v>
      </c>
      <c r="J57" s="10"/>
      <c r="K57" s="10"/>
      <c r="L57" s="10"/>
    </row>
    <row r="58" customFormat="false" ht="15" hidden="false" customHeight="true" outlineLevel="0" collapsed="false">
      <c r="A58" s="10" t="s">
        <v>427</v>
      </c>
      <c r="B58" s="10" t="s">
        <v>428</v>
      </c>
      <c r="C58" s="10" t="s">
        <v>94</v>
      </c>
      <c r="D58" s="10" t="s">
        <v>429</v>
      </c>
      <c r="E58" s="11" t="s">
        <v>430</v>
      </c>
      <c r="F58" s="11" t="s">
        <v>431</v>
      </c>
      <c r="G58" s="11" t="s">
        <v>432</v>
      </c>
      <c r="H58" s="10" t="s">
        <v>16</v>
      </c>
      <c r="I58" s="10" t="s">
        <v>48</v>
      </c>
      <c r="J58" s="10"/>
      <c r="K58" s="10"/>
      <c r="L58" s="10"/>
    </row>
    <row r="59" customFormat="false" ht="15" hidden="false" customHeight="true" outlineLevel="0" collapsed="false">
      <c r="A59" s="10" t="s">
        <v>433</v>
      </c>
      <c r="B59" s="10" t="s">
        <v>428</v>
      </c>
      <c r="C59" s="10" t="s">
        <v>94</v>
      </c>
      <c r="D59" s="10" t="s">
        <v>429</v>
      </c>
      <c r="E59" s="11" t="s">
        <v>434</v>
      </c>
      <c r="F59" s="11" t="s">
        <v>46</v>
      </c>
      <c r="G59" s="11" t="s">
        <v>435</v>
      </c>
      <c r="H59" s="10" t="s">
        <v>16</v>
      </c>
      <c r="I59" s="10" t="s">
        <v>48</v>
      </c>
      <c r="J59" s="10"/>
      <c r="K59" s="10"/>
      <c r="L59" s="10"/>
    </row>
    <row r="60" customFormat="false" ht="15" hidden="false" customHeight="true" outlineLevel="0" collapsed="false">
      <c r="A60" s="10" t="s">
        <v>436</v>
      </c>
      <c r="B60" s="10" t="s">
        <v>428</v>
      </c>
      <c r="C60" s="10" t="s">
        <v>94</v>
      </c>
      <c r="D60" s="10" t="s">
        <v>429</v>
      </c>
      <c r="E60" s="11" t="s">
        <v>437</v>
      </c>
      <c r="F60" s="11" t="s">
        <v>46</v>
      </c>
      <c r="G60" s="11" t="s">
        <v>438</v>
      </c>
      <c r="H60" s="10" t="s">
        <v>16</v>
      </c>
      <c r="I60" s="10" t="s">
        <v>48</v>
      </c>
      <c r="J60" s="10"/>
      <c r="K60" s="10"/>
      <c r="L60" s="10"/>
    </row>
    <row r="61" customFormat="false" ht="23.25" hidden="false" customHeight="true" outlineLevel="0" collapsed="false">
      <c r="A61" s="10" t="s">
        <v>439</v>
      </c>
      <c r="B61" s="10" t="s">
        <v>428</v>
      </c>
      <c r="C61" s="10" t="s">
        <v>94</v>
      </c>
      <c r="D61" s="10" t="s">
        <v>429</v>
      </c>
      <c r="E61" s="11" t="s">
        <v>440</v>
      </c>
      <c r="F61" s="11" t="s">
        <v>46</v>
      </c>
      <c r="G61" s="11" t="s">
        <v>441</v>
      </c>
      <c r="H61" s="10" t="s">
        <v>16</v>
      </c>
      <c r="I61" s="10" t="s">
        <v>48</v>
      </c>
      <c r="J61" s="10"/>
      <c r="K61" s="10"/>
      <c r="L61" s="10"/>
    </row>
    <row r="62" customFormat="false" ht="23.25" hidden="false" customHeight="true" outlineLevel="0" collapsed="false">
      <c r="A62" s="10" t="s">
        <v>442</v>
      </c>
      <c r="B62" s="10" t="s">
        <v>428</v>
      </c>
      <c r="C62" s="10" t="s">
        <v>94</v>
      </c>
      <c r="D62" s="10" t="s">
        <v>429</v>
      </c>
      <c r="E62" s="11" t="s">
        <v>443</v>
      </c>
      <c r="F62" s="11" t="s">
        <v>46</v>
      </c>
      <c r="G62" s="11" t="s">
        <v>444</v>
      </c>
      <c r="H62" s="10" t="s">
        <v>16</v>
      </c>
      <c r="I62" s="10" t="s">
        <v>48</v>
      </c>
      <c r="J62" s="10"/>
      <c r="K62" s="10"/>
      <c r="L62" s="10"/>
    </row>
    <row r="63" customFormat="false" ht="15" hidden="false" customHeight="true" outlineLevel="0" collapsed="false">
      <c r="A63" s="10" t="s">
        <v>457</v>
      </c>
      <c r="B63" s="10" t="s">
        <v>449</v>
      </c>
      <c r="C63" s="10" t="s">
        <v>43</v>
      </c>
      <c r="D63" s="10" t="s">
        <v>450</v>
      </c>
      <c r="E63" s="11" t="s">
        <v>458</v>
      </c>
      <c r="F63" s="11" t="s">
        <v>46</v>
      </c>
      <c r="G63" s="11" t="s">
        <v>459</v>
      </c>
      <c r="H63" s="10" t="s">
        <v>16</v>
      </c>
      <c r="I63" s="10" t="s">
        <v>48</v>
      </c>
      <c r="J63" s="10"/>
      <c r="K63" s="10"/>
      <c r="L63" s="10"/>
    </row>
    <row r="64" customFormat="false" ht="15" hidden="false" customHeight="true" outlineLevel="0" collapsed="false">
      <c r="A64" s="10" t="s">
        <v>464</v>
      </c>
      <c r="B64" s="10" t="s">
        <v>449</v>
      </c>
      <c r="C64" s="10" t="s">
        <v>43</v>
      </c>
      <c r="D64" s="10" t="s">
        <v>450</v>
      </c>
      <c r="E64" s="11" t="s">
        <v>465</v>
      </c>
      <c r="F64" s="11" t="s">
        <v>46</v>
      </c>
      <c r="G64" s="11" t="s">
        <v>466</v>
      </c>
      <c r="H64" s="10" t="s">
        <v>16</v>
      </c>
      <c r="I64" s="10" t="s">
        <v>48</v>
      </c>
      <c r="J64" s="10"/>
      <c r="K64" s="10"/>
      <c r="L64" s="10"/>
    </row>
    <row r="65" customFormat="false" ht="15" hidden="false" customHeight="true" outlineLevel="0" collapsed="false">
      <c r="A65" s="10" t="s">
        <v>475</v>
      </c>
      <c r="B65" s="10" t="s">
        <v>449</v>
      </c>
      <c r="C65" s="10" t="s">
        <v>43</v>
      </c>
      <c r="D65" s="10" t="s">
        <v>450</v>
      </c>
      <c r="E65" s="11" t="s">
        <v>476</v>
      </c>
      <c r="F65" s="11" t="s">
        <v>46</v>
      </c>
      <c r="G65" s="11" t="s">
        <v>477</v>
      </c>
      <c r="H65" s="10" t="s">
        <v>16</v>
      </c>
      <c r="I65" s="10" t="s">
        <v>48</v>
      </c>
      <c r="J65" s="10"/>
      <c r="K65" s="10"/>
      <c r="L65" s="10"/>
    </row>
    <row r="66" customFormat="false" ht="15" hidden="false" customHeight="true" outlineLevel="0" collapsed="false">
      <c r="A66" s="10" t="s">
        <v>488</v>
      </c>
      <c r="B66" s="10" t="s">
        <v>483</v>
      </c>
      <c r="C66" s="10" t="s">
        <v>119</v>
      </c>
      <c r="D66" s="10" t="s">
        <v>484</v>
      </c>
      <c r="E66" s="11" t="s">
        <v>489</v>
      </c>
      <c r="F66" s="11" t="s">
        <v>46</v>
      </c>
      <c r="G66" s="11" t="s">
        <v>490</v>
      </c>
      <c r="H66" s="10" t="s">
        <v>16</v>
      </c>
      <c r="I66" s="10" t="s">
        <v>48</v>
      </c>
      <c r="J66" s="10"/>
      <c r="K66" s="10"/>
      <c r="L66" s="10"/>
    </row>
    <row r="67" customFormat="false" ht="15" hidden="false" customHeight="true" outlineLevel="0" collapsed="false">
      <c r="A67" s="10" t="s">
        <v>491</v>
      </c>
      <c r="B67" s="10" t="s">
        <v>483</v>
      </c>
      <c r="C67" s="10" t="s">
        <v>119</v>
      </c>
      <c r="D67" s="10" t="s">
        <v>484</v>
      </c>
      <c r="E67" s="11" t="s">
        <v>492</v>
      </c>
      <c r="F67" s="11" t="s">
        <v>46</v>
      </c>
      <c r="G67" s="11" t="s">
        <v>493</v>
      </c>
      <c r="H67" s="10" t="s">
        <v>16</v>
      </c>
      <c r="I67" s="10" t="s">
        <v>48</v>
      </c>
      <c r="J67" s="10"/>
      <c r="K67" s="10"/>
      <c r="L67" s="10"/>
    </row>
    <row r="68" customFormat="false" ht="15" hidden="false" customHeight="true" outlineLevel="0" collapsed="false">
      <c r="A68" s="10" t="s">
        <v>494</v>
      </c>
      <c r="B68" s="10" t="s">
        <v>483</v>
      </c>
      <c r="C68" s="10" t="s">
        <v>119</v>
      </c>
      <c r="D68" s="10" t="s">
        <v>484</v>
      </c>
      <c r="E68" s="11" t="s">
        <v>495</v>
      </c>
      <c r="F68" s="11" t="s">
        <v>46</v>
      </c>
      <c r="G68" s="11" t="s">
        <v>496</v>
      </c>
      <c r="H68" s="10" t="s">
        <v>16</v>
      </c>
      <c r="I68" s="10" t="s">
        <v>48</v>
      </c>
      <c r="J68" s="10"/>
      <c r="K68" s="10"/>
      <c r="L68" s="10"/>
    </row>
    <row r="69" customFormat="false" ht="15" hidden="false" customHeight="true" outlineLevel="0" collapsed="false">
      <c r="A69" s="10" t="s">
        <v>497</v>
      </c>
      <c r="B69" s="10" t="s">
        <v>483</v>
      </c>
      <c r="C69" s="10" t="s">
        <v>119</v>
      </c>
      <c r="D69" s="10" t="s">
        <v>484</v>
      </c>
      <c r="E69" s="11" t="s">
        <v>498</v>
      </c>
      <c r="F69" s="11" t="s">
        <v>46</v>
      </c>
      <c r="G69" s="11" t="s">
        <v>499</v>
      </c>
      <c r="H69" s="10" t="s">
        <v>16</v>
      </c>
      <c r="I69" s="10" t="s">
        <v>48</v>
      </c>
      <c r="J69" s="10"/>
      <c r="K69" s="10"/>
      <c r="L69" s="10"/>
    </row>
    <row r="70" customFormat="false" ht="15" hidden="false" customHeight="true" outlineLevel="0" collapsed="false">
      <c r="A70" s="10" t="s">
        <v>500</v>
      </c>
      <c r="B70" s="10" t="s">
        <v>483</v>
      </c>
      <c r="C70" s="10" t="s">
        <v>119</v>
      </c>
      <c r="D70" s="10" t="s">
        <v>484</v>
      </c>
      <c r="E70" s="11" t="s">
        <v>501</v>
      </c>
      <c r="F70" s="11" t="s">
        <v>502</v>
      </c>
      <c r="G70" s="11" t="s">
        <v>503</v>
      </c>
      <c r="H70" s="10" t="s">
        <v>16</v>
      </c>
      <c r="I70" s="10" t="s">
        <v>48</v>
      </c>
      <c r="J70" s="10"/>
      <c r="K70" s="10"/>
      <c r="L70" s="10"/>
    </row>
    <row r="71" customFormat="false" ht="15" hidden="false" customHeight="true" outlineLevel="0" collapsed="false">
      <c r="A71" s="10" t="s">
        <v>516</v>
      </c>
      <c r="B71" s="10" t="s">
        <v>511</v>
      </c>
      <c r="C71" s="10" t="s">
        <v>94</v>
      </c>
      <c r="D71" s="10" t="s">
        <v>512</v>
      </c>
      <c r="E71" s="11" t="s">
        <v>517</v>
      </c>
      <c r="F71" s="11" t="s">
        <v>46</v>
      </c>
      <c r="G71" s="11" t="s">
        <v>518</v>
      </c>
      <c r="H71" s="10" t="s">
        <v>16</v>
      </c>
      <c r="I71" s="10" t="s">
        <v>48</v>
      </c>
      <c r="J71" s="10"/>
      <c r="K71" s="10"/>
      <c r="L71" s="10"/>
    </row>
    <row r="72" customFormat="false" ht="15" hidden="false" customHeight="true" outlineLevel="0" collapsed="false">
      <c r="A72" s="10" t="s">
        <v>519</v>
      </c>
      <c r="B72" s="10" t="s">
        <v>511</v>
      </c>
      <c r="C72" s="10" t="s">
        <v>94</v>
      </c>
      <c r="D72" s="10" t="s">
        <v>512</v>
      </c>
      <c r="E72" s="11" t="s">
        <v>520</v>
      </c>
      <c r="F72" s="11" t="s">
        <v>46</v>
      </c>
      <c r="G72" s="11" t="s">
        <v>521</v>
      </c>
      <c r="H72" s="10" t="s">
        <v>16</v>
      </c>
      <c r="I72" s="10" t="s">
        <v>48</v>
      </c>
      <c r="J72" s="10"/>
      <c r="K72" s="10"/>
      <c r="L72" s="10"/>
    </row>
    <row r="73" customFormat="false" ht="15" hidden="false" customHeight="true" outlineLevel="0" collapsed="false">
      <c r="A73" s="10" t="s">
        <v>522</v>
      </c>
      <c r="B73" s="10" t="s">
        <v>511</v>
      </c>
      <c r="C73" s="10" t="s">
        <v>94</v>
      </c>
      <c r="D73" s="10" t="s">
        <v>512</v>
      </c>
      <c r="E73" s="11" t="s">
        <v>523</v>
      </c>
      <c r="F73" s="11" t="s">
        <v>46</v>
      </c>
      <c r="G73" s="11" t="s">
        <v>524</v>
      </c>
      <c r="H73" s="10" t="s">
        <v>16</v>
      </c>
      <c r="I73" s="10" t="s">
        <v>48</v>
      </c>
      <c r="J73" s="10"/>
      <c r="K73" s="10"/>
      <c r="L73" s="10"/>
    </row>
    <row r="74" customFormat="false" ht="15" hidden="false" customHeight="true" outlineLevel="0" collapsed="false">
      <c r="A74" s="10" t="s">
        <v>525</v>
      </c>
      <c r="B74" s="10" t="s">
        <v>511</v>
      </c>
      <c r="C74" s="10" t="s">
        <v>94</v>
      </c>
      <c r="D74" s="10" t="s">
        <v>512</v>
      </c>
      <c r="E74" s="11" t="s">
        <v>526</v>
      </c>
      <c r="F74" s="11" t="s">
        <v>46</v>
      </c>
      <c r="G74" s="11" t="s">
        <v>527</v>
      </c>
      <c r="H74" s="10" t="s">
        <v>16</v>
      </c>
      <c r="I74" s="10" t="s">
        <v>48</v>
      </c>
      <c r="J74" s="10"/>
      <c r="K74" s="10"/>
      <c r="L74" s="10"/>
    </row>
    <row r="75" customFormat="false" ht="15" hidden="false" customHeight="true" outlineLevel="0" collapsed="false">
      <c r="A75" s="10" t="s">
        <v>528</v>
      </c>
      <c r="B75" s="10" t="s">
        <v>529</v>
      </c>
      <c r="C75" s="10" t="s">
        <v>94</v>
      </c>
      <c r="D75" s="10" t="s">
        <v>530</v>
      </c>
      <c r="E75" s="11" t="s">
        <v>531</v>
      </c>
      <c r="F75" s="11" t="s">
        <v>532</v>
      </c>
      <c r="G75" s="11" t="s">
        <v>533</v>
      </c>
      <c r="H75" s="10" t="s">
        <v>16</v>
      </c>
      <c r="I75" s="10" t="s">
        <v>48</v>
      </c>
      <c r="J75" s="10"/>
      <c r="K75" s="10"/>
      <c r="L75" s="10"/>
    </row>
    <row r="76" customFormat="false" ht="15" hidden="false" customHeight="true" outlineLevel="0" collapsed="false">
      <c r="A76" s="10" t="s">
        <v>534</v>
      </c>
      <c r="B76" s="10" t="s">
        <v>529</v>
      </c>
      <c r="C76" s="10" t="s">
        <v>94</v>
      </c>
      <c r="D76" s="10" t="s">
        <v>530</v>
      </c>
      <c r="E76" s="11" t="s">
        <v>535</v>
      </c>
      <c r="F76" s="11" t="s">
        <v>532</v>
      </c>
      <c r="G76" s="11" t="s">
        <v>536</v>
      </c>
      <c r="H76" s="10" t="s">
        <v>16</v>
      </c>
      <c r="I76" s="10" t="s">
        <v>48</v>
      </c>
      <c r="J76" s="10"/>
      <c r="K76" s="10"/>
      <c r="L76" s="10"/>
    </row>
    <row r="77" customFormat="false" ht="23.25" hidden="false" customHeight="true" outlineLevel="0" collapsed="false">
      <c r="A77" s="10" t="s">
        <v>537</v>
      </c>
      <c r="B77" s="10" t="s">
        <v>529</v>
      </c>
      <c r="C77" s="10" t="s">
        <v>94</v>
      </c>
      <c r="D77" s="10" t="s">
        <v>530</v>
      </c>
      <c r="E77" s="11" t="s">
        <v>538</v>
      </c>
      <c r="F77" s="11" t="s">
        <v>46</v>
      </c>
      <c r="G77" s="11" t="s">
        <v>539</v>
      </c>
      <c r="H77" s="10" t="s">
        <v>16</v>
      </c>
      <c r="I77" s="10" t="s">
        <v>48</v>
      </c>
      <c r="J77" s="10"/>
      <c r="K77" s="10"/>
      <c r="L77" s="10"/>
    </row>
    <row r="78" customFormat="false" ht="15" hidden="false" customHeight="true" outlineLevel="0" collapsed="false">
      <c r="A78" s="10" t="s">
        <v>544</v>
      </c>
      <c r="B78" s="10" t="s">
        <v>529</v>
      </c>
      <c r="C78" s="10" t="s">
        <v>94</v>
      </c>
      <c r="D78" s="10" t="s">
        <v>530</v>
      </c>
      <c r="E78" s="11" t="s">
        <v>545</v>
      </c>
      <c r="F78" s="11" t="s">
        <v>46</v>
      </c>
      <c r="G78" s="11" t="s">
        <v>546</v>
      </c>
      <c r="H78" s="10" t="s">
        <v>16</v>
      </c>
      <c r="I78" s="10" t="s">
        <v>48</v>
      </c>
      <c r="J78" s="10"/>
      <c r="K78" s="10"/>
      <c r="L78" s="10"/>
    </row>
    <row r="79" customFormat="false" ht="15" hidden="false" customHeight="true" outlineLevel="0" collapsed="false">
      <c r="A79" s="10" t="s">
        <v>547</v>
      </c>
      <c r="B79" s="10" t="s">
        <v>529</v>
      </c>
      <c r="C79" s="10" t="s">
        <v>94</v>
      </c>
      <c r="D79" s="10" t="s">
        <v>530</v>
      </c>
      <c r="E79" s="11" t="s">
        <v>548</v>
      </c>
      <c r="F79" s="11" t="s">
        <v>46</v>
      </c>
      <c r="G79" s="11" t="s">
        <v>549</v>
      </c>
      <c r="H79" s="10" t="s">
        <v>16</v>
      </c>
      <c r="I79" s="10" t="s">
        <v>48</v>
      </c>
      <c r="J79" s="10"/>
      <c r="K79" s="10"/>
      <c r="L79" s="10"/>
    </row>
    <row r="80" customFormat="false" ht="23.25" hidden="false" customHeight="true" outlineLevel="0" collapsed="false">
      <c r="A80" s="10" t="s">
        <v>554</v>
      </c>
      <c r="B80" s="10" t="s">
        <v>555</v>
      </c>
      <c r="C80" s="10" t="s">
        <v>556</v>
      </c>
      <c r="D80" s="10" t="s">
        <v>557</v>
      </c>
      <c r="E80" s="11" t="s">
        <v>558</v>
      </c>
      <c r="F80" s="11" t="s">
        <v>46</v>
      </c>
      <c r="G80" s="11" t="s">
        <v>559</v>
      </c>
      <c r="H80" s="10" t="s">
        <v>16</v>
      </c>
      <c r="I80" s="10" t="s">
        <v>48</v>
      </c>
      <c r="J80" s="10"/>
      <c r="K80" s="10"/>
      <c r="L80" s="10"/>
    </row>
    <row r="81" customFormat="false" ht="15" hidden="false" customHeight="true" outlineLevel="0" collapsed="false">
      <c r="A81" s="10" t="s">
        <v>560</v>
      </c>
      <c r="B81" s="10" t="s">
        <v>555</v>
      </c>
      <c r="C81" s="10" t="s">
        <v>556</v>
      </c>
      <c r="D81" s="10" t="s">
        <v>557</v>
      </c>
      <c r="E81" s="11" t="s">
        <v>561</v>
      </c>
      <c r="F81" s="11" t="s">
        <v>562</v>
      </c>
      <c r="G81" s="11" t="s">
        <v>563</v>
      </c>
      <c r="H81" s="10" t="s">
        <v>16</v>
      </c>
      <c r="I81" s="10" t="s">
        <v>48</v>
      </c>
      <c r="J81" s="10"/>
      <c r="K81" s="10"/>
      <c r="L81" s="10"/>
    </row>
    <row r="82" customFormat="false" ht="15" hidden="false" customHeight="true" outlineLevel="0" collapsed="false">
      <c r="A82" s="10" t="s">
        <v>66</v>
      </c>
      <c r="B82" s="10" t="s">
        <v>42</v>
      </c>
      <c r="C82" s="10" t="s">
        <v>43</v>
      </c>
      <c r="D82" s="10" t="s">
        <v>44</v>
      </c>
      <c r="E82" s="11" t="s">
        <v>67</v>
      </c>
      <c r="F82" s="11" t="s">
        <v>68</v>
      </c>
      <c r="G82" s="11" t="s">
        <v>69</v>
      </c>
      <c r="H82" s="10" t="s">
        <v>16</v>
      </c>
      <c r="I82" s="10" t="s">
        <v>70</v>
      </c>
      <c r="J82" s="10"/>
      <c r="K82" s="10"/>
      <c r="L82" s="10"/>
    </row>
    <row r="83" customFormat="false" ht="15" hidden="false" customHeight="true" outlineLevel="0" collapsed="false">
      <c r="A83" s="10" t="s">
        <v>71</v>
      </c>
      <c r="B83" s="10" t="s">
        <v>42</v>
      </c>
      <c r="C83" s="10" t="s">
        <v>43</v>
      </c>
      <c r="D83" s="10" t="s">
        <v>44</v>
      </c>
      <c r="E83" s="11" t="s">
        <v>72</v>
      </c>
      <c r="F83" s="11" t="s">
        <v>73</v>
      </c>
      <c r="G83" s="11" t="s">
        <v>74</v>
      </c>
      <c r="H83" s="10" t="s">
        <v>16</v>
      </c>
      <c r="I83" s="10" t="s">
        <v>70</v>
      </c>
      <c r="J83" s="10"/>
      <c r="K83" s="10"/>
      <c r="L83" s="10"/>
    </row>
    <row r="84" customFormat="false" ht="15" hidden="false" customHeight="true" outlineLevel="0" collapsed="false">
      <c r="A84" s="10" t="s">
        <v>102</v>
      </c>
      <c r="B84" s="10" t="s">
        <v>93</v>
      </c>
      <c r="C84" s="10" t="s">
        <v>94</v>
      </c>
      <c r="D84" s="10" t="s">
        <v>95</v>
      </c>
      <c r="E84" s="11" t="s">
        <v>99</v>
      </c>
      <c r="F84" s="11" t="s">
        <v>46</v>
      </c>
      <c r="G84" s="11" t="s">
        <v>103</v>
      </c>
      <c r="H84" s="10" t="s">
        <v>16</v>
      </c>
      <c r="I84" s="10" t="s">
        <v>70</v>
      </c>
      <c r="J84" s="10"/>
      <c r="K84" s="10"/>
      <c r="L84" s="10"/>
    </row>
    <row r="85" customFormat="false" ht="15" hidden="false" customHeight="true" outlineLevel="0" collapsed="false">
      <c r="A85" s="10" t="s">
        <v>108</v>
      </c>
      <c r="B85" s="10" t="s">
        <v>93</v>
      </c>
      <c r="C85" s="10" t="s">
        <v>94</v>
      </c>
      <c r="D85" s="10" t="s">
        <v>95</v>
      </c>
      <c r="E85" s="11" t="s">
        <v>105</v>
      </c>
      <c r="F85" s="11" t="s">
        <v>46</v>
      </c>
      <c r="G85" s="11" t="s">
        <v>109</v>
      </c>
      <c r="H85" s="10" t="s">
        <v>16</v>
      </c>
      <c r="I85" s="10" t="s">
        <v>70</v>
      </c>
      <c r="J85" s="10"/>
      <c r="K85" s="10"/>
      <c r="L85" s="10"/>
    </row>
    <row r="86" customFormat="false" ht="15" hidden="false" customHeight="true" outlineLevel="0" collapsed="false">
      <c r="A86" s="10" t="s">
        <v>192</v>
      </c>
      <c r="B86" s="10" t="s">
        <v>172</v>
      </c>
      <c r="C86" s="10" t="s">
        <v>94</v>
      </c>
      <c r="D86" s="10" t="s">
        <v>173</v>
      </c>
      <c r="E86" s="11" t="s">
        <v>193</v>
      </c>
      <c r="F86" s="11" t="s">
        <v>46</v>
      </c>
      <c r="G86" s="11" t="s">
        <v>194</v>
      </c>
      <c r="H86" s="10" t="s">
        <v>16</v>
      </c>
      <c r="I86" s="10" t="s">
        <v>70</v>
      </c>
      <c r="J86" s="10"/>
      <c r="K86" s="10"/>
      <c r="L86" s="10"/>
    </row>
    <row r="87" customFormat="false" ht="15" hidden="false" customHeight="true" outlineLevel="0" collapsed="false">
      <c r="A87" s="10" t="s">
        <v>204</v>
      </c>
      <c r="B87" s="10" t="s">
        <v>196</v>
      </c>
      <c r="C87" s="10" t="s">
        <v>94</v>
      </c>
      <c r="D87" s="10" t="s">
        <v>197</v>
      </c>
      <c r="E87" s="11" t="s">
        <v>193</v>
      </c>
      <c r="F87" s="11" t="s">
        <v>46</v>
      </c>
      <c r="G87" s="11" t="s">
        <v>205</v>
      </c>
      <c r="H87" s="10" t="s">
        <v>16</v>
      </c>
      <c r="I87" s="10" t="s">
        <v>70</v>
      </c>
      <c r="J87" s="10"/>
      <c r="K87" s="10"/>
      <c r="L87" s="10"/>
    </row>
    <row r="88" customFormat="false" ht="15" hidden="false" customHeight="true" outlineLevel="0" collapsed="false">
      <c r="A88" s="10" t="s">
        <v>411</v>
      </c>
      <c r="B88" s="10" t="s">
        <v>407</v>
      </c>
      <c r="C88" s="10" t="s">
        <v>94</v>
      </c>
      <c r="D88" s="10" t="s">
        <v>408</v>
      </c>
      <c r="E88" s="11" t="s">
        <v>412</v>
      </c>
      <c r="F88" s="11" t="s">
        <v>46</v>
      </c>
      <c r="G88" s="11" t="s">
        <v>413</v>
      </c>
      <c r="H88" s="10" t="s">
        <v>16</v>
      </c>
      <c r="I88" s="10" t="s">
        <v>70</v>
      </c>
      <c r="J88" s="10"/>
      <c r="K88" s="10"/>
      <c r="L88" s="10"/>
    </row>
    <row r="89" customFormat="false" ht="15" hidden="false" customHeight="true" outlineLevel="0" collapsed="false">
      <c r="A89" s="10" t="s">
        <v>504</v>
      </c>
      <c r="B89" s="10" t="s">
        <v>483</v>
      </c>
      <c r="C89" s="10" t="s">
        <v>119</v>
      </c>
      <c r="D89" s="10" t="s">
        <v>484</v>
      </c>
      <c r="E89" s="11" t="s">
        <v>505</v>
      </c>
      <c r="F89" s="11" t="s">
        <v>46</v>
      </c>
      <c r="G89" s="11" t="s">
        <v>506</v>
      </c>
      <c r="H89" s="10" t="s">
        <v>16</v>
      </c>
      <c r="I89" s="10" t="s">
        <v>70</v>
      </c>
      <c r="J89" s="10"/>
      <c r="K89" s="10"/>
      <c r="L89" s="10"/>
    </row>
    <row r="90" customFormat="false" ht="15" hidden="false" customHeight="true" outlineLevel="0" collapsed="false">
      <c r="A90" s="10" t="s">
        <v>507</v>
      </c>
      <c r="B90" s="10" t="s">
        <v>483</v>
      </c>
      <c r="C90" s="10" t="s">
        <v>119</v>
      </c>
      <c r="D90" s="10" t="s">
        <v>484</v>
      </c>
      <c r="E90" s="11" t="s">
        <v>508</v>
      </c>
      <c r="F90" s="11" t="s">
        <v>46</v>
      </c>
      <c r="G90" s="11" t="s">
        <v>509</v>
      </c>
      <c r="H90" s="10" t="s">
        <v>16</v>
      </c>
      <c r="I90" s="10" t="s">
        <v>70</v>
      </c>
      <c r="J90" s="10"/>
      <c r="K90" s="10"/>
      <c r="L90" s="10"/>
    </row>
  </sheetData>
  <autoFilter ref="A1:L90"/>
  <conditionalFormatting sqref="I2:I90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68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2" t="s">
        <v>567</v>
      </c>
      <c r="K1" s="12" t="s">
        <v>568</v>
      </c>
      <c r="L1" s="12" t="s">
        <v>569</v>
      </c>
    </row>
    <row r="2" customFormat="false" ht="15" hidden="false" customHeight="true" outlineLevel="0" collapsed="false">
      <c r="A2" s="10" t="s">
        <v>155</v>
      </c>
      <c r="B2" s="10" t="s">
        <v>151</v>
      </c>
      <c r="C2" s="10" t="s">
        <v>94</v>
      </c>
      <c r="D2" s="10" t="s">
        <v>152</v>
      </c>
      <c r="E2" s="11" t="s">
        <v>156</v>
      </c>
      <c r="F2" s="11" t="s">
        <v>46</v>
      </c>
      <c r="G2" s="11" t="s">
        <v>157</v>
      </c>
      <c r="H2" s="10" t="s">
        <v>17</v>
      </c>
      <c r="I2" s="10" t="s">
        <v>70</v>
      </c>
      <c r="J2" s="10"/>
      <c r="K2" s="10"/>
      <c r="L2" s="10"/>
    </row>
  </sheetData>
  <autoFilter ref="A1:L2"/>
  <conditionalFormatting sqref="I2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68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2" t="s">
        <v>567</v>
      </c>
      <c r="K1" s="12" t="s">
        <v>568</v>
      </c>
      <c r="L1" s="12" t="s">
        <v>569</v>
      </c>
    </row>
    <row r="2" customFormat="false" ht="23.25" hidden="false" customHeight="true" outlineLevel="0" collapsed="false">
      <c r="A2" s="10" t="s">
        <v>255</v>
      </c>
      <c r="B2" s="10" t="s">
        <v>246</v>
      </c>
      <c r="C2" s="10" t="s">
        <v>43</v>
      </c>
      <c r="D2" s="10" t="s">
        <v>247</v>
      </c>
      <c r="E2" s="11" t="s">
        <v>256</v>
      </c>
      <c r="F2" s="11" t="s">
        <v>257</v>
      </c>
      <c r="G2" s="11" t="s">
        <v>258</v>
      </c>
      <c r="H2" s="10" t="s">
        <v>18</v>
      </c>
      <c r="I2" s="10" t="s">
        <v>183</v>
      </c>
      <c r="J2" s="10"/>
      <c r="K2" s="10"/>
      <c r="L2" s="10"/>
    </row>
    <row r="3" customFormat="false" ht="34.5" hidden="false" customHeight="true" outlineLevel="0" collapsed="false">
      <c r="A3" s="10" t="s">
        <v>286</v>
      </c>
      <c r="B3" s="10" t="s">
        <v>282</v>
      </c>
      <c r="C3" s="10" t="s">
        <v>119</v>
      </c>
      <c r="D3" s="10" t="s">
        <v>283</v>
      </c>
      <c r="E3" s="11" t="s">
        <v>287</v>
      </c>
      <c r="F3" s="11" t="s">
        <v>288</v>
      </c>
      <c r="G3" s="11" t="s">
        <v>289</v>
      </c>
      <c r="H3" s="10" t="s">
        <v>18</v>
      </c>
      <c r="I3" s="10" t="s">
        <v>183</v>
      </c>
      <c r="J3" s="10"/>
      <c r="K3" s="10"/>
      <c r="L3" s="10"/>
    </row>
    <row r="4" customFormat="false" ht="34.5" hidden="false" customHeight="true" outlineLevel="0" collapsed="false">
      <c r="A4" s="10" t="s">
        <v>346</v>
      </c>
      <c r="B4" s="10" t="s">
        <v>347</v>
      </c>
      <c r="C4" s="10" t="s">
        <v>94</v>
      </c>
      <c r="D4" s="10" t="s">
        <v>348</v>
      </c>
      <c r="E4" s="11" t="s">
        <v>349</v>
      </c>
      <c r="F4" s="11" t="s">
        <v>350</v>
      </c>
      <c r="G4" s="11" t="s">
        <v>351</v>
      </c>
      <c r="H4" s="10" t="s">
        <v>18</v>
      </c>
      <c r="I4" s="10" t="s">
        <v>183</v>
      </c>
      <c r="J4" s="10"/>
      <c r="K4" s="10"/>
      <c r="L4" s="10"/>
    </row>
    <row r="5" customFormat="false" ht="23.25" hidden="false" customHeight="true" outlineLevel="0" collapsed="false">
      <c r="A5" s="10" t="s">
        <v>352</v>
      </c>
      <c r="B5" s="10" t="s">
        <v>347</v>
      </c>
      <c r="C5" s="10" t="s">
        <v>94</v>
      </c>
      <c r="D5" s="10" t="s">
        <v>348</v>
      </c>
      <c r="E5" s="11" t="s">
        <v>353</v>
      </c>
      <c r="F5" s="11" t="s">
        <v>46</v>
      </c>
      <c r="G5" s="11" t="s">
        <v>354</v>
      </c>
      <c r="H5" s="10" t="s">
        <v>18</v>
      </c>
      <c r="I5" s="10" t="s">
        <v>183</v>
      </c>
      <c r="J5" s="10"/>
      <c r="K5" s="10"/>
      <c r="L5" s="10"/>
    </row>
    <row r="6" customFormat="false" ht="23.25" hidden="false" customHeight="true" outlineLevel="0" collapsed="false">
      <c r="A6" s="10" t="s">
        <v>369</v>
      </c>
      <c r="B6" s="10" t="s">
        <v>370</v>
      </c>
      <c r="C6" s="10" t="s">
        <v>94</v>
      </c>
      <c r="D6" s="10" t="s">
        <v>371</v>
      </c>
      <c r="E6" s="11" t="s">
        <v>372</v>
      </c>
      <c r="F6" s="11" t="s">
        <v>373</v>
      </c>
      <c r="G6" s="11" t="s">
        <v>374</v>
      </c>
      <c r="H6" s="10" t="s">
        <v>18</v>
      </c>
      <c r="I6" s="10" t="s">
        <v>183</v>
      </c>
      <c r="J6" s="10"/>
      <c r="K6" s="10"/>
      <c r="L6" s="10"/>
    </row>
    <row r="7" customFormat="false" ht="23.25" hidden="false" customHeight="true" outlineLevel="0" collapsed="false">
      <c r="A7" s="10" t="s">
        <v>375</v>
      </c>
      <c r="B7" s="10" t="s">
        <v>370</v>
      </c>
      <c r="C7" s="10" t="s">
        <v>94</v>
      </c>
      <c r="D7" s="10" t="s">
        <v>371</v>
      </c>
      <c r="E7" s="11" t="s">
        <v>376</v>
      </c>
      <c r="F7" s="11" t="s">
        <v>377</v>
      </c>
      <c r="G7" s="11" t="s">
        <v>378</v>
      </c>
      <c r="H7" s="10" t="s">
        <v>18</v>
      </c>
      <c r="I7" s="10" t="s">
        <v>183</v>
      </c>
      <c r="J7" s="10"/>
      <c r="K7" s="10"/>
      <c r="L7" s="10"/>
    </row>
    <row r="8" customFormat="false" ht="23.25" hidden="false" customHeight="true" outlineLevel="0" collapsed="false">
      <c r="A8" s="10" t="s">
        <v>312</v>
      </c>
      <c r="B8" s="10" t="s">
        <v>308</v>
      </c>
      <c r="C8" s="10" t="s">
        <v>119</v>
      </c>
      <c r="D8" s="10" t="s">
        <v>309</v>
      </c>
      <c r="E8" s="11" t="s">
        <v>313</v>
      </c>
      <c r="F8" s="11" t="s">
        <v>314</v>
      </c>
      <c r="G8" s="11" t="s">
        <v>315</v>
      </c>
      <c r="H8" s="10" t="s">
        <v>18</v>
      </c>
      <c r="I8" s="10" t="s">
        <v>183</v>
      </c>
      <c r="J8" s="10"/>
      <c r="K8" s="10"/>
      <c r="L8" s="10"/>
    </row>
    <row r="9" customFormat="false" ht="23.25" hidden="false" customHeight="true" outlineLevel="0" collapsed="false">
      <c r="A9" s="10" t="s">
        <v>58</v>
      </c>
      <c r="B9" s="10" t="s">
        <v>42</v>
      </c>
      <c r="C9" s="10" t="s">
        <v>43</v>
      </c>
      <c r="D9" s="10" t="s">
        <v>44</v>
      </c>
      <c r="E9" s="11" t="s">
        <v>59</v>
      </c>
      <c r="F9" s="11" t="s">
        <v>60</v>
      </c>
      <c r="G9" s="11" t="s">
        <v>61</v>
      </c>
      <c r="H9" s="10" t="s">
        <v>18</v>
      </c>
      <c r="I9" s="10" t="s">
        <v>48</v>
      </c>
      <c r="J9" s="10"/>
      <c r="K9" s="10"/>
      <c r="L9" s="10"/>
    </row>
    <row r="10" customFormat="false" ht="15" hidden="false" customHeight="true" outlineLevel="0" collapsed="false">
      <c r="A10" s="10" t="s">
        <v>62</v>
      </c>
      <c r="B10" s="10" t="s">
        <v>42</v>
      </c>
      <c r="C10" s="10" t="s">
        <v>43</v>
      </c>
      <c r="D10" s="10" t="s">
        <v>44</v>
      </c>
      <c r="E10" s="11" t="s">
        <v>63</v>
      </c>
      <c r="F10" s="11" t="s">
        <v>64</v>
      </c>
      <c r="G10" s="11" t="s">
        <v>65</v>
      </c>
      <c r="H10" s="10" t="s">
        <v>18</v>
      </c>
      <c r="I10" s="10" t="s">
        <v>48</v>
      </c>
      <c r="J10" s="10"/>
      <c r="K10" s="10"/>
      <c r="L10" s="10"/>
    </row>
    <row r="11" customFormat="false" ht="23.25" hidden="false" customHeight="true" outlineLevel="0" collapsed="false">
      <c r="A11" s="10" t="s">
        <v>82</v>
      </c>
      <c r="B11" s="10" t="s">
        <v>42</v>
      </c>
      <c r="C11" s="10" t="s">
        <v>43</v>
      </c>
      <c r="D11" s="10" t="s">
        <v>44</v>
      </c>
      <c r="E11" s="11" t="s">
        <v>83</v>
      </c>
      <c r="F11" s="11" t="s">
        <v>84</v>
      </c>
      <c r="G11" s="11" t="s">
        <v>85</v>
      </c>
      <c r="H11" s="10" t="s">
        <v>18</v>
      </c>
      <c r="I11" s="10" t="s">
        <v>48</v>
      </c>
      <c r="J11" s="10"/>
      <c r="K11" s="10"/>
      <c r="L11" s="10"/>
    </row>
    <row r="12" customFormat="false" ht="15" hidden="false" customHeight="true" outlineLevel="0" collapsed="false">
      <c r="A12" s="10" t="s">
        <v>98</v>
      </c>
      <c r="B12" s="10" t="s">
        <v>93</v>
      </c>
      <c r="C12" s="10" t="s">
        <v>94</v>
      </c>
      <c r="D12" s="10" t="s">
        <v>95</v>
      </c>
      <c r="E12" s="11" t="s">
        <v>99</v>
      </c>
      <c r="F12" s="11" t="s">
        <v>100</v>
      </c>
      <c r="G12" s="11" t="s">
        <v>101</v>
      </c>
      <c r="H12" s="10" t="s">
        <v>18</v>
      </c>
      <c r="I12" s="10" t="s">
        <v>48</v>
      </c>
      <c r="J12" s="10"/>
      <c r="K12" s="10"/>
      <c r="L12" s="10"/>
    </row>
    <row r="13" customFormat="false" ht="15" hidden="false" customHeight="true" outlineLevel="0" collapsed="false">
      <c r="A13" s="10" t="s">
        <v>104</v>
      </c>
      <c r="B13" s="10" t="s">
        <v>93</v>
      </c>
      <c r="C13" s="10" t="s">
        <v>94</v>
      </c>
      <c r="D13" s="10" t="s">
        <v>95</v>
      </c>
      <c r="E13" s="11" t="s">
        <v>105</v>
      </c>
      <c r="F13" s="11" t="s">
        <v>106</v>
      </c>
      <c r="G13" s="11" t="s">
        <v>107</v>
      </c>
      <c r="H13" s="10" t="s">
        <v>18</v>
      </c>
      <c r="I13" s="10" t="s">
        <v>48</v>
      </c>
      <c r="J13" s="10"/>
      <c r="K13" s="10"/>
      <c r="L13" s="10"/>
    </row>
    <row r="14" customFormat="false" ht="15" hidden="false" customHeight="true" outlineLevel="0" collapsed="false">
      <c r="A14" s="10" t="s">
        <v>141</v>
      </c>
      <c r="B14" s="10" t="s">
        <v>142</v>
      </c>
      <c r="C14" s="10" t="s">
        <v>94</v>
      </c>
      <c r="D14" s="10" t="s">
        <v>143</v>
      </c>
      <c r="E14" s="11" t="s">
        <v>144</v>
      </c>
      <c r="F14" s="11" t="s">
        <v>145</v>
      </c>
      <c r="G14" s="11" t="s">
        <v>146</v>
      </c>
      <c r="H14" s="10" t="s">
        <v>18</v>
      </c>
      <c r="I14" s="10" t="s">
        <v>48</v>
      </c>
      <c r="J14" s="10"/>
      <c r="K14" s="10"/>
      <c r="L14" s="10"/>
    </row>
    <row r="15" customFormat="false" ht="23.25" hidden="false" customHeight="true" outlineLevel="0" collapsed="false">
      <c r="A15" s="10" t="s">
        <v>195</v>
      </c>
      <c r="B15" s="10" t="s">
        <v>196</v>
      </c>
      <c r="C15" s="10" t="s">
        <v>94</v>
      </c>
      <c r="D15" s="10" t="s">
        <v>197</v>
      </c>
      <c r="E15" s="11" t="s">
        <v>198</v>
      </c>
      <c r="F15" s="11" t="s">
        <v>199</v>
      </c>
      <c r="G15" s="11" t="s">
        <v>200</v>
      </c>
      <c r="H15" s="10" t="s">
        <v>18</v>
      </c>
      <c r="I15" s="10" t="s">
        <v>48</v>
      </c>
      <c r="J15" s="10"/>
      <c r="K15" s="10"/>
      <c r="L15" s="10"/>
    </row>
    <row r="16" customFormat="false" ht="23.25" hidden="false" customHeight="true" outlineLevel="0" collapsed="false">
      <c r="A16" s="10" t="s">
        <v>245</v>
      </c>
      <c r="B16" s="10" t="s">
        <v>246</v>
      </c>
      <c r="C16" s="10" t="s">
        <v>43</v>
      </c>
      <c r="D16" s="10" t="s">
        <v>247</v>
      </c>
      <c r="E16" s="11" t="s">
        <v>248</v>
      </c>
      <c r="F16" s="11" t="s">
        <v>249</v>
      </c>
      <c r="G16" s="11" t="s">
        <v>250</v>
      </c>
      <c r="H16" s="10" t="s">
        <v>18</v>
      </c>
      <c r="I16" s="10" t="s">
        <v>48</v>
      </c>
      <c r="J16" s="10"/>
      <c r="K16" s="10"/>
      <c r="L16" s="10"/>
    </row>
    <row r="17" customFormat="false" ht="23.25" hidden="false" customHeight="true" outlineLevel="0" collapsed="false">
      <c r="A17" s="10" t="s">
        <v>251</v>
      </c>
      <c r="B17" s="10" t="s">
        <v>246</v>
      </c>
      <c r="C17" s="10" t="s">
        <v>43</v>
      </c>
      <c r="D17" s="10" t="s">
        <v>247</v>
      </c>
      <c r="E17" s="11" t="s">
        <v>252</v>
      </c>
      <c r="F17" s="11" t="s">
        <v>253</v>
      </c>
      <c r="G17" s="11" t="s">
        <v>254</v>
      </c>
      <c r="H17" s="10" t="s">
        <v>18</v>
      </c>
      <c r="I17" s="10" t="s">
        <v>48</v>
      </c>
      <c r="J17" s="10"/>
      <c r="K17" s="10"/>
      <c r="L17" s="10"/>
    </row>
    <row r="18" customFormat="false" ht="34.5" hidden="false" customHeight="true" outlineLevel="0" collapsed="false">
      <c r="A18" s="10" t="s">
        <v>325</v>
      </c>
      <c r="B18" s="10" t="s">
        <v>326</v>
      </c>
      <c r="C18" s="10" t="s">
        <v>94</v>
      </c>
      <c r="D18" s="10" t="s">
        <v>327</v>
      </c>
      <c r="E18" s="11" t="s">
        <v>328</v>
      </c>
      <c r="F18" s="11" t="s">
        <v>329</v>
      </c>
      <c r="G18" s="11" t="s">
        <v>330</v>
      </c>
      <c r="H18" s="10" t="s">
        <v>18</v>
      </c>
      <c r="I18" s="10" t="s">
        <v>48</v>
      </c>
      <c r="J18" s="10"/>
      <c r="K18" s="10"/>
      <c r="L18" s="10"/>
    </row>
    <row r="19" customFormat="false" ht="15" hidden="false" customHeight="true" outlineLevel="0" collapsed="false">
      <c r="A19" s="10" t="s">
        <v>467</v>
      </c>
      <c r="B19" s="10" t="s">
        <v>449</v>
      </c>
      <c r="C19" s="10" t="s">
        <v>43</v>
      </c>
      <c r="D19" s="10" t="s">
        <v>450</v>
      </c>
      <c r="E19" s="11" t="s">
        <v>468</v>
      </c>
      <c r="F19" s="11" t="s">
        <v>469</v>
      </c>
      <c r="G19" s="11" t="s">
        <v>470</v>
      </c>
      <c r="H19" s="10" t="s">
        <v>18</v>
      </c>
      <c r="I19" s="10" t="s">
        <v>48</v>
      </c>
      <c r="J19" s="10"/>
      <c r="K19" s="10"/>
      <c r="L19" s="10"/>
    </row>
    <row r="20" customFormat="false" ht="15" hidden="false" customHeight="true" outlineLevel="0" collapsed="false">
      <c r="A20" s="10" t="s">
        <v>478</v>
      </c>
      <c r="B20" s="10" t="s">
        <v>449</v>
      </c>
      <c r="C20" s="10" t="s">
        <v>43</v>
      </c>
      <c r="D20" s="10" t="s">
        <v>450</v>
      </c>
      <c r="E20" s="11" t="s">
        <v>479</v>
      </c>
      <c r="F20" s="11" t="s">
        <v>480</v>
      </c>
      <c r="G20" s="11" t="s">
        <v>481</v>
      </c>
      <c r="H20" s="10" t="s">
        <v>18</v>
      </c>
      <c r="I20" s="10" t="s">
        <v>48</v>
      </c>
      <c r="J20" s="10"/>
      <c r="K20" s="10"/>
      <c r="L20" s="10"/>
    </row>
    <row r="21" customFormat="false" ht="23.25" hidden="false" customHeight="true" outlineLevel="0" collapsed="false">
      <c r="A21" s="10" t="s">
        <v>482</v>
      </c>
      <c r="B21" s="10" t="s">
        <v>483</v>
      </c>
      <c r="C21" s="10" t="s">
        <v>119</v>
      </c>
      <c r="D21" s="10" t="s">
        <v>484</v>
      </c>
      <c r="E21" s="11" t="s">
        <v>485</v>
      </c>
      <c r="F21" s="11" t="s">
        <v>486</v>
      </c>
      <c r="G21" s="11" t="s">
        <v>487</v>
      </c>
      <c r="H21" s="10" t="s">
        <v>18</v>
      </c>
      <c r="I21" s="10" t="s">
        <v>48</v>
      </c>
      <c r="J21" s="10"/>
      <c r="K21" s="10"/>
      <c r="L21" s="10"/>
    </row>
    <row r="22" customFormat="false" ht="15" hidden="false" customHeight="true" outlineLevel="0" collapsed="false">
      <c r="A22" s="10" t="s">
        <v>540</v>
      </c>
      <c r="B22" s="10" t="s">
        <v>529</v>
      </c>
      <c r="C22" s="10" t="s">
        <v>94</v>
      </c>
      <c r="D22" s="10" t="s">
        <v>530</v>
      </c>
      <c r="E22" s="11" t="s">
        <v>541</v>
      </c>
      <c r="F22" s="11" t="s">
        <v>542</v>
      </c>
      <c r="G22" s="11" t="s">
        <v>543</v>
      </c>
      <c r="H22" s="10" t="s">
        <v>18</v>
      </c>
      <c r="I22" s="10" t="s">
        <v>48</v>
      </c>
      <c r="J22" s="10"/>
      <c r="K22" s="10"/>
      <c r="L22" s="10"/>
    </row>
    <row r="23" customFormat="false" ht="15" hidden="false" customHeight="true" outlineLevel="0" collapsed="false">
      <c r="A23" s="10" t="s">
        <v>226</v>
      </c>
      <c r="B23" s="10" t="s">
        <v>207</v>
      </c>
      <c r="C23" s="10" t="s">
        <v>94</v>
      </c>
      <c r="D23" s="10" t="s">
        <v>208</v>
      </c>
      <c r="E23" s="11" t="s">
        <v>227</v>
      </c>
      <c r="F23" s="11" t="s">
        <v>228</v>
      </c>
      <c r="G23" s="11" t="s">
        <v>229</v>
      </c>
      <c r="H23" s="10" t="s">
        <v>18</v>
      </c>
      <c r="I23" s="10" t="s">
        <v>70</v>
      </c>
      <c r="J23" s="10"/>
      <c r="K23" s="10"/>
      <c r="L23" s="10"/>
    </row>
    <row r="24" customFormat="false" ht="23.25" hidden="false" customHeight="true" outlineLevel="0" collapsed="false">
      <c r="A24" s="10" t="s">
        <v>241</v>
      </c>
      <c r="B24" s="10" t="s">
        <v>237</v>
      </c>
      <c r="C24" s="10" t="s">
        <v>119</v>
      </c>
      <c r="D24" s="10" t="s">
        <v>238</v>
      </c>
      <c r="E24" s="11" t="s">
        <v>242</v>
      </c>
      <c r="F24" s="11" t="s">
        <v>243</v>
      </c>
      <c r="G24" s="11" t="s">
        <v>244</v>
      </c>
      <c r="H24" s="10" t="s">
        <v>18</v>
      </c>
      <c r="I24" s="10" t="s">
        <v>70</v>
      </c>
      <c r="J24" s="10"/>
      <c r="K24" s="10"/>
      <c r="L24" s="10"/>
    </row>
  </sheetData>
  <autoFilter ref="A1:L24"/>
  <conditionalFormatting sqref="I2:I24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68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2" t="s">
        <v>567</v>
      </c>
      <c r="K1" s="12" t="s">
        <v>568</v>
      </c>
      <c r="L1" s="12" t="s">
        <v>569</v>
      </c>
    </row>
    <row r="2" customFormat="false" ht="23.25" hidden="false" customHeight="true" outlineLevel="0" collapsed="false">
      <c r="A2" s="10" t="s">
        <v>365</v>
      </c>
      <c r="B2" s="10" t="s">
        <v>347</v>
      </c>
      <c r="C2" s="10" t="s">
        <v>94</v>
      </c>
      <c r="D2" s="10" t="s">
        <v>348</v>
      </c>
      <c r="E2" s="11" t="s">
        <v>366</v>
      </c>
      <c r="F2" s="11" t="s">
        <v>367</v>
      </c>
      <c r="G2" s="11" t="s">
        <v>368</v>
      </c>
      <c r="H2" s="10" t="s">
        <v>19</v>
      </c>
      <c r="I2" s="10" t="s">
        <v>183</v>
      </c>
      <c r="J2" s="10"/>
      <c r="K2" s="10"/>
      <c r="L2" s="10"/>
    </row>
    <row r="3" customFormat="false" ht="23.25" hidden="false" customHeight="true" outlineLevel="0" collapsed="false">
      <c r="A3" s="10" t="s">
        <v>448</v>
      </c>
      <c r="B3" s="10" t="s">
        <v>449</v>
      </c>
      <c r="C3" s="10" t="s">
        <v>43</v>
      </c>
      <c r="D3" s="10" t="s">
        <v>450</v>
      </c>
      <c r="E3" s="11" t="s">
        <v>451</v>
      </c>
      <c r="F3" s="11" t="s">
        <v>452</v>
      </c>
      <c r="G3" s="11" t="s">
        <v>453</v>
      </c>
      <c r="H3" s="10" t="s">
        <v>19</v>
      </c>
      <c r="I3" s="10" t="s">
        <v>183</v>
      </c>
      <c r="J3" s="10"/>
      <c r="K3" s="10"/>
      <c r="L3" s="10"/>
    </row>
    <row r="4" customFormat="false" ht="15" hidden="false" customHeight="true" outlineLevel="0" collapsed="false">
      <c r="A4" s="10" t="s">
        <v>460</v>
      </c>
      <c r="B4" s="10" t="s">
        <v>449</v>
      </c>
      <c r="C4" s="10" t="s">
        <v>43</v>
      </c>
      <c r="D4" s="10" t="s">
        <v>450</v>
      </c>
      <c r="E4" s="11" t="s">
        <v>461</v>
      </c>
      <c r="F4" s="11" t="s">
        <v>462</v>
      </c>
      <c r="G4" s="11" t="s">
        <v>463</v>
      </c>
      <c r="H4" s="10" t="s">
        <v>19</v>
      </c>
      <c r="I4" s="10" t="s">
        <v>183</v>
      </c>
      <c r="J4" s="10"/>
      <c r="K4" s="10"/>
      <c r="L4" s="10"/>
    </row>
    <row r="5" customFormat="false" ht="15" hidden="false" customHeight="true" outlineLevel="0" collapsed="false">
      <c r="A5" s="10" t="s">
        <v>471</v>
      </c>
      <c r="B5" s="10" t="s">
        <v>449</v>
      </c>
      <c r="C5" s="10" t="s">
        <v>43</v>
      </c>
      <c r="D5" s="10" t="s">
        <v>450</v>
      </c>
      <c r="E5" s="11" t="s">
        <v>472</v>
      </c>
      <c r="F5" s="11" t="s">
        <v>473</v>
      </c>
      <c r="G5" s="11" t="s">
        <v>474</v>
      </c>
      <c r="H5" s="10" t="s">
        <v>19</v>
      </c>
      <c r="I5" s="10" t="s">
        <v>183</v>
      </c>
      <c r="J5" s="10"/>
      <c r="K5" s="10"/>
      <c r="L5" s="10"/>
    </row>
    <row r="6" customFormat="false" ht="34.5" hidden="false" customHeight="true" outlineLevel="0" collapsed="false">
      <c r="A6" s="10" t="s">
        <v>117</v>
      </c>
      <c r="B6" s="10" t="s">
        <v>118</v>
      </c>
      <c r="C6" s="10" t="s">
        <v>119</v>
      </c>
      <c r="D6" s="10" t="s">
        <v>120</v>
      </c>
      <c r="E6" s="11" t="s">
        <v>121</v>
      </c>
      <c r="F6" s="11" t="s">
        <v>46</v>
      </c>
      <c r="G6" s="11" t="s">
        <v>122</v>
      </c>
      <c r="H6" s="10" t="s">
        <v>19</v>
      </c>
      <c r="I6" s="10" t="s">
        <v>48</v>
      </c>
      <c r="J6" s="10"/>
      <c r="K6" s="10"/>
      <c r="L6" s="10"/>
    </row>
    <row r="7" customFormat="false" ht="23.25" hidden="false" customHeight="true" outlineLevel="0" collapsed="false">
      <c r="A7" s="10" t="s">
        <v>216</v>
      </c>
      <c r="B7" s="10" t="s">
        <v>207</v>
      </c>
      <c r="C7" s="10" t="s">
        <v>94</v>
      </c>
      <c r="D7" s="10" t="s">
        <v>208</v>
      </c>
      <c r="E7" s="11" t="s">
        <v>217</v>
      </c>
      <c r="F7" s="11" t="s">
        <v>218</v>
      </c>
      <c r="G7" s="11" t="s">
        <v>219</v>
      </c>
      <c r="H7" s="10" t="s">
        <v>19</v>
      </c>
      <c r="I7" s="10" t="s">
        <v>48</v>
      </c>
      <c r="J7" s="10"/>
      <c r="K7" s="10"/>
      <c r="L7" s="10"/>
    </row>
    <row r="8" customFormat="false" ht="15" hidden="false" customHeight="true" outlineLevel="0" collapsed="false">
      <c r="A8" s="10" t="s">
        <v>220</v>
      </c>
      <c r="B8" s="10" t="s">
        <v>207</v>
      </c>
      <c r="C8" s="10" t="s">
        <v>94</v>
      </c>
      <c r="D8" s="10" t="s">
        <v>208</v>
      </c>
      <c r="E8" s="11" t="s">
        <v>221</v>
      </c>
      <c r="F8" s="11" t="s">
        <v>222</v>
      </c>
      <c r="G8" s="11" t="s">
        <v>223</v>
      </c>
      <c r="H8" s="10" t="s">
        <v>19</v>
      </c>
      <c r="I8" s="10" t="s">
        <v>48</v>
      </c>
      <c r="J8" s="10"/>
      <c r="K8" s="10"/>
      <c r="L8" s="10"/>
    </row>
    <row r="9" customFormat="false" ht="23.25" hidden="false" customHeight="true" outlineLevel="0" collapsed="false">
      <c r="A9" s="10" t="s">
        <v>358</v>
      </c>
      <c r="B9" s="10" t="s">
        <v>347</v>
      </c>
      <c r="C9" s="10" t="s">
        <v>94</v>
      </c>
      <c r="D9" s="10" t="s">
        <v>348</v>
      </c>
      <c r="E9" s="11" t="s">
        <v>359</v>
      </c>
      <c r="F9" s="11" t="s">
        <v>360</v>
      </c>
      <c r="G9" s="11" t="s">
        <v>361</v>
      </c>
      <c r="H9" s="10" t="s">
        <v>19</v>
      </c>
      <c r="I9" s="10" t="s">
        <v>48</v>
      </c>
      <c r="J9" s="10"/>
      <c r="K9" s="10"/>
      <c r="L9" s="10"/>
    </row>
    <row r="10" customFormat="false" ht="23.25" hidden="false" customHeight="true" outlineLevel="0" collapsed="false">
      <c r="A10" s="10" t="s">
        <v>388</v>
      </c>
      <c r="B10" s="10" t="s">
        <v>389</v>
      </c>
      <c r="C10" s="10" t="s">
        <v>381</v>
      </c>
      <c r="D10" s="10" t="s">
        <v>390</v>
      </c>
      <c r="E10" s="11" t="s">
        <v>391</v>
      </c>
      <c r="F10" s="11" t="s">
        <v>392</v>
      </c>
      <c r="G10" s="11" t="s">
        <v>393</v>
      </c>
      <c r="H10" s="10" t="s">
        <v>19</v>
      </c>
      <c r="I10" s="10" t="s">
        <v>48</v>
      </c>
      <c r="J10" s="10"/>
      <c r="K10" s="10"/>
      <c r="L10" s="10"/>
    </row>
    <row r="11" customFormat="false" ht="23.25" hidden="false" customHeight="true" outlineLevel="0" collapsed="false">
      <c r="A11" s="10" t="s">
        <v>550</v>
      </c>
      <c r="B11" s="10" t="s">
        <v>529</v>
      </c>
      <c r="C11" s="10" t="s">
        <v>94</v>
      </c>
      <c r="D11" s="10" t="s">
        <v>530</v>
      </c>
      <c r="E11" s="11" t="s">
        <v>551</v>
      </c>
      <c r="F11" s="11" t="s">
        <v>552</v>
      </c>
      <c r="G11" s="11" t="s">
        <v>553</v>
      </c>
      <c r="H11" s="10" t="s">
        <v>19</v>
      </c>
      <c r="I11" s="10" t="s">
        <v>48</v>
      </c>
      <c r="J11" s="10"/>
      <c r="K11" s="10"/>
      <c r="L11" s="10"/>
    </row>
    <row r="12" customFormat="false" ht="23.25" hidden="false" customHeight="true" outlineLevel="0" collapsed="false">
      <c r="A12" s="10" t="s">
        <v>86</v>
      </c>
      <c r="B12" s="10" t="s">
        <v>42</v>
      </c>
      <c r="C12" s="10" t="s">
        <v>43</v>
      </c>
      <c r="D12" s="10" t="s">
        <v>44</v>
      </c>
      <c r="E12" s="11" t="s">
        <v>87</v>
      </c>
      <c r="F12" s="11" t="s">
        <v>46</v>
      </c>
      <c r="G12" s="11" t="s">
        <v>88</v>
      </c>
      <c r="H12" s="10" t="s">
        <v>19</v>
      </c>
      <c r="I12" s="10" t="s">
        <v>70</v>
      </c>
      <c r="J12" s="10"/>
      <c r="K12" s="10"/>
      <c r="L12" s="10"/>
    </row>
    <row r="13" customFormat="false" ht="23.25" hidden="false" customHeight="true" outlineLevel="0" collapsed="false">
      <c r="A13" s="10" t="s">
        <v>89</v>
      </c>
      <c r="B13" s="10" t="s">
        <v>42</v>
      </c>
      <c r="C13" s="10" t="s">
        <v>43</v>
      </c>
      <c r="D13" s="10" t="s">
        <v>44</v>
      </c>
      <c r="E13" s="11" t="s">
        <v>90</v>
      </c>
      <c r="F13" s="11" t="s">
        <v>46</v>
      </c>
      <c r="G13" s="11" t="s">
        <v>91</v>
      </c>
      <c r="H13" s="10" t="s">
        <v>19</v>
      </c>
      <c r="I13" s="10" t="s">
        <v>70</v>
      </c>
      <c r="J13" s="10"/>
      <c r="K13" s="10"/>
      <c r="L13" s="10"/>
    </row>
    <row r="14" customFormat="false" ht="23.25" hidden="false" customHeight="true" outlineLevel="0" collapsed="false">
      <c r="A14" s="10" t="s">
        <v>130</v>
      </c>
      <c r="B14" s="10" t="s">
        <v>118</v>
      </c>
      <c r="C14" s="10" t="s">
        <v>119</v>
      </c>
      <c r="D14" s="10" t="s">
        <v>120</v>
      </c>
      <c r="E14" s="11" t="s">
        <v>131</v>
      </c>
      <c r="F14" s="11" t="s">
        <v>46</v>
      </c>
      <c r="G14" s="11" t="s">
        <v>132</v>
      </c>
      <c r="H14" s="10" t="s">
        <v>19</v>
      </c>
      <c r="I14" s="10" t="s">
        <v>70</v>
      </c>
      <c r="J14" s="10"/>
      <c r="K14" s="10"/>
      <c r="L14" s="10"/>
    </row>
    <row r="15" customFormat="false" ht="34.5" hidden="false" customHeight="true" outlineLevel="0" collapsed="false">
      <c r="A15" s="10" t="s">
        <v>189</v>
      </c>
      <c r="B15" s="10" t="s">
        <v>172</v>
      </c>
      <c r="C15" s="10" t="s">
        <v>94</v>
      </c>
      <c r="D15" s="10" t="s">
        <v>173</v>
      </c>
      <c r="E15" s="11" t="s">
        <v>190</v>
      </c>
      <c r="F15" s="11" t="s">
        <v>46</v>
      </c>
      <c r="G15" s="11" t="s">
        <v>191</v>
      </c>
      <c r="H15" s="10" t="s">
        <v>19</v>
      </c>
      <c r="I15" s="10" t="s">
        <v>70</v>
      </c>
      <c r="J15" s="10"/>
      <c r="K15" s="10"/>
      <c r="L15" s="10"/>
    </row>
    <row r="16" customFormat="false" ht="23.25" hidden="false" customHeight="true" outlineLevel="0" collapsed="false">
      <c r="A16" s="10" t="s">
        <v>224</v>
      </c>
      <c r="B16" s="10" t="s">
        <v>207</v>
      </c>
      <c r="C16" s="10" t="s">
        <v>94</v>
      </c>
      <c r="D16" s="10" t="s">
        <v>208</v>
      </c>
      <c r="E16" s="11" t="s">
        <v>193</v>
      </c>
      <c r="F16" s="11" t="s">
        <v>46</v>
      </c>
      <c r="G16" s="11" t="s">
        <v>225</v>
      </c>
      <c r="H16" s="10" t="s">
        <v>19</v>
      </c>
      <c r="I16" s="10" t="s">
        <v>70</v>
      </c>
      <c r="J16" s="10"/>
      <c r="K16" s="10"/>
      <c r="L16" s="10"/>
    </row>
    <row r="17" customFormat="false" ht="23.25" hidden="false" customHeight="true" outlineLevel="0" collapsed="false">
      <c r="A17" s="10" t="s">
        <v>278</v>
      </c>
      <c r="B17" s="10" t="s">
        <v>267</v>
      </c>
      <c r="C17" s="10" t="s">
        <v>119</v>
      </c>
      <c r="D17" s="10" t="s">
        <v>268</v>
      </c>
      <c r="E17" s="11" t="s">
        <v>279</v>
      </c>
      <c r="F17" s="11" t="s">
        <v>46</v>
      </c>
      <c r="G17" s="11" t="s">
        <v>280</v>
      </c>
      <c r="H17" s="10" t="s">
        <v>19</v>
      </c>
      <c r="I17" s="10" t="s">
        <v>70</v>
      </c>
      <c r="J17" s="10"/>
      <c r="K17" s="10"/>
      <c r="L17" s="10"/>
    </row>
    <row r="18" customFormat="false" ht="23.25" hidden="false" customHeight="true" outlineLevel="0" collapsed="false">
      <c r="A18" s="10" t="s">
        <v>385</v>
      </c>
      <c r="B18" s="10" t="s">
        <v>380</v>
      </c>
      <c r="C18" s="10" t="s">
        <v>381</v>
      </c>
      <c r="D18" s="10" t="s">
        <v>382</v>
      </c>
      <c r="E18" s="11" t="s">
        <v>386</v>
      </c>
      <c r="F18" s="11" t="s">
        <v>46</v>
      </c>
      <c r="G18" s="11" t="s">
        <v>387</v>
      </c>
      <c r="H18" s="10" t="s">
        <v>19</v>
      </c>
      <c r="I18" s="10" t="s">
        <v>70</v>
      </c>
      <c r="J18" s="10"/>
      <c r="K18" s="10"/>
      <c r="L18" s="10"/>
    </row>
    <row r="19" customFormat="false" ht="15" hidden="false" customHeight="true" outlineLevel="0" collapsed="false">
      <c r="A19" s="10" t="s">
        <v>414</v>
      </c>
      <c r="B19" s="10" t="s">
        <v>407</v>
      </c>
      <c r="C19" s="10" t="s">
        <v>94</v>
      </c>
      <c r="D19" s="10" t="s">
        <v>408</v>
      </c>
      <c r="E19" s="11" t="s">
        <v>415</v>
      </c>
      <c r="F19" s="11" t="s">
        <v>46</v>
      </c>
      <c r="G19" s="11" t="s">
        <v>416</v>
      </c>
      <c r="H19" s="10" t="s">
        <v>19</v>
      </c>
      <c r="I19" s="10" t="s">
        <v>70</v>
      </c>
      <c r="J19" s="10"/>
      <c r="K19" s="10"/>
      <c r="L19" s="10"/>
    </row>
    <row r="20" customFormat="false" ht="23.25" hidden="false" customHeight="true" outlineLevel="0" collapsed="false">
      <c r="A20" s="10" t="s">
        <v>445</v>
      </c>
      <c r="B20" s="10" t="s">
        <v>428</v>
      </c>
      <c r="C20" s="10" t="s">
        <v>94</v>
      </c>
      <c r="D20" s="10" t="s">
        <v>429</v>
      </c>
      <c r="E20" s="11" t="s">
        <v>446</v>
      </c>
      <c r="F20" s="11" t="s">
        <v>46</v>
      </c>
      <c r="G20" s="11" t="s">
        <v>447</v>
      </c>
      <c r="H20" s="10" t="s">
        <v>19</v>
      </c>
      <c r="I20" s="10" t="s">
        <v>70</v>
      </c>
      <c r="J20" s="10"/>
      <c r="K20" s="10"/>
      <c r="L20" s="10"/>
    </row>
    <row r="21" customFormat="false" ht="23.25" hidden="false" customHeight="true" outlineLevel="0" collapsed="false">
      <c r="A21" s="10" t="s">
        <v>113</v>
      </c>
      <c r="B21" s="10" t="s">
        <v>93</v>
      </c>
      <c r="C21" s="10" t="s">
        <v>94</v>
      </c>
      <c r="D21" s="10" t="s">
        <v>95</v>
      </c>
      <c r="E21" s="11" t="s">
        <v>114</v>
      </c>
      <c r="F21" s="11" t="s">
        <v>46</v>
      </c>
      <c r="G21" s="11" t="s">
        <v>115</v>
      </c>
      <c r="H21" s="10" t="s">
        <v>19</v>
      </c>
      <c r="I21" s="10" t="s">
        <v>116</v>
      </c>
      <c r="J21" s="10"/>
      <c r="K21" s="10"/>
      <c r="L21" s="10"/>
    </row>
    <row r="22" customFormat="false" ht="15" hidden="false" customHeight="true" outlineLevel="0" collapsed="false">
      <c r="A22" s="10" t="s">
        <v>133</v>
      </c>
      <c r="B22" s="10" t="s">
        <v>118</v>
      </c>
      <c r="C22" s="10" t="s">
        <v>119</v>
      </c>
      <c r="D22" s="10" t="s">
        <v>120</v>
      </c>
      <c r="E22" s="11" t="s">
        <v>134</v>
      </c>
      <c r="F22" s="11" t="s">
        <v>46</v>
      </c>
      <c r="G22" s="11" t="s">
        <v>135</v>
      </c>
      <c r="H22" s="10" t="s">
        <v>19</v>
      </c>
      <c r="I22" s="10" t="s">
        <v>116</v>
      </c>
      <c r="J22" s="10"/>
      <c r="K22" s="10"/>
      <c r="L22" s="10"/>
    </row>
    <row r="23" customFormat="false" ht="15" hidden="false" customHeight="true" outlineLevel="0" collapsed="false">
      <c r="A23" s="10" t="s">
        <v>340</v>
      </c>
      <c r="B23" s="10" t="s">
        <v>332</v>
      </c>
      <c r="C23" s="10" t="s">
        <v>94</v>
      </c>
      <c r="D23" s="10" t="s">
        <v>333</v>
      </c>
      <c r="E23" s="11" t="s">
        <v>341</v>
      </c>
      <c r="F23" s="11" t="s">
        <v>46</v>
      </c>
      <c r="G23" s="11" t="s">
        <v>342</v>
      </c>
      <c r="H23" s="10" t="s">
        <v>19</v>
      </c>
      <c r="I23" s="10" t="s">
        <v>116</v>
      </c>
      <c r="J23" s="10"/>
      <c r="K23" s="10"/>
      <c r="L23" s="10"/>
    </row>
    <row r="24" customFormat="false" ht="15" hidden="false" customHeight="true" outlineLevel="0" collapsed="false">
      <c r="A24" s="10" t="s">
        <v>564</v>
      </c>
      <c r="B24" s="10" t="s">
        <v>555</v>
      </c>
      <c r="C24" s="10" t="s">
        <v>556</v>
      </c>
      <c r="D24" s="10" t="s">
        <v>557</v>
      </c>
      <c r="E24" s="11" t="s">
        <v>565</v>
      </c>
      <c r="F24" s="11" t="s">
        <v>46</v>
      </c>
      <c r="G24" s="11" t="s">
        <v>566</v>
      </c>
      <c r="H24" s="10" t="s">
        <v>19</v>
      </c>
      <c r="I24" s="10" t="s">
        <v>116</v>
      </c>
      <c r="J24" s="10"/>
      <c r="K24" s="10"/>
      <c r="L24" s="10"/>
    </row>
  </sheetData>
  <autoFilter ref="A1:L24"/>
  <conditionalFormatting sqref="I2:I24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20"/>
    <col collapsed="false" customWidth="true" hidden="false" outlineLevel="0" max="7" min="7" style="1" width="68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2" t="s">
        <v>567</v>
      </c>
      <c r="K1" s="12" t="s">
        <v>568</v>
      </c>
      <c r="L1" s="12" t="s">
        <v>569</v>
      </c>
    </row>
    <row r="2" customFormat="false" ht="23.25" hidden="false" customHeight="true" outlineLevel="0" collapsed="false">
      <c r="A2" s="10" t="s">
        <v>510</v>
      </c>
      <c r="B2" s="10" t="s">
        <v>511</v>
      </c>
      <c r="C2" s="10" t="s">
        <v>94</v>
      </c>
      <c r="D2" s="10" t="s">
        <v>512</v>
      </c>
      <c r="E2" s="11" t="s">
        <v>513</v>
      </c>
      <c r="F2" s="11" t="s">
        <v>514</v>
      </c>
      <c r="G2" s="11" t="s">
        <v>515</v>
      </c>
      <c r="H2" s="10" t="s">
        <v>20</v>
      </c>
      <c r="I2" s="10" t="s">
        <v>48</v>
      </c>
      <c r="J2" s="10"/>
      <c r="K2" s="10"/>
      <c r="L2" s="10"/>
    </row>
  </sheetData>
  <autoFilter ref="A1:L2"/>
  <conditionalFormatting sqref="I2">
    <cfRule type="cellIs" priority="2" operator="equal" aboveAverage="0" equalAverage="0" bottom="0" percent="0" rank="0" text="" dxfId="7">
      <formula>"CRITICAL"</formula>
    </cfRule>
    <cfRule type="cellIs" priority="3" operator="equal" aboveAverage="0" equalAverage="0" bottom="0" percent="0" rank="0" text="" dxfId="8">
      <formula>"HIGH"</formula>
    </cfRule>
    <cfRule type="cellIs" priority="4" operator="equal" aboveAverage="0" equalAverage="0" bottom="0" percent="0" rank="0" text="" dxfId="9">
      <formula>"MED"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24"/>
    <col collapsed="false" customWidth="true" hidden="false" outlineLevel="0" max="8" min="8" style="1" width="26"/>
    <col collapsed="false" customWidth="true" hidden="false" outlineLevel="0" max="9" min="9" style="1" width="34"/>
    <col collapsed="false" customWidth="true" hidden="false" outlineLevel="0" max="11" min="10" style="1" width="10"/>
  </cols>
  <sheetData>
    <row r="1" customFormat="false" ht="15" hidden="false" customHeight="true" outlineLevel="0" collapsed="false">
      <c r="A1" s="9" t="s">
        <v>570</v>
      </c>
      <c r="B1" s="9" t="s">
        <v>571</v>
      </c>
      <c r="C1" s="9" t="s">
        <v>572</v>
      </c>
      <c r="D1" s="9" t="s">
        <v>573</v>
      </c>
      <c r="E1" s="9" t="s">
        <v>574</v>
      </c>
      <c r="F1" s="9" t="s">
        <v>575</v>
      </c>
      <c r="G1" s="9" t="s">
        <v>37</v>
      </c>
      <c r="H1" s="9" t="s">
        <v>576</v>
      </c>
      <c r="I1" s="9" t="s">
        <v>577</v>
      </c>
      <c r="J1" s="13" t="s">
        <v>578</v>
      </c>
      <c r="K1" s="13" t="s">
        <v>567</v>
      </c>
    </row>
    <row r="2" customFormat="false" ht="15" hidden="false" customHeight="true" outlineLevel="0" collapsed="false">
      <c r="A2" s="10" t="s">
        <v>579</v>
      </c>
      <c r="B2" s="11" t="s">
        <v>580</v>
      </c>
      <c r="C2" s="10" t="s">
        <v>581</v>
      </c>
      <c r="D2" s="10" t="s">
        <v>582</v>
      </c>
      <c r="E2" s="10" t="s">
        <v>582</v>
      </c>
      <c r="F2" s="10" t="s">
        <v>583</v>
      </c>
      <c r="G2" s="11" t="s">
        <v>584</v>
      </c>
      <c r="H2" s="11" t="s">
        <v>585</v>
      </c>
      <c r="I2" s="11" t="s">
        <v>586</v>
      </c>
      <c r="J2" s="10"/>
      <c r="K2" s="10"/>
    </row>
    <row r="3" customFormat="false" ht="15" hidden="false" customHeight="true" outlineLevel="0" collapsed="false">
      <c r="A3" s="10" t="s">
        <v>587</v>
      </c>
      <c r="B3" s="11" t="s">
        <v>588</v>
      </c>
      <c r="C3" s="10" t="s">
        <v>46</v>
      </c>
      <c r="D3" s="10" t="s">
        <v>582</v>
      </c>
      <c r="E3" s="10" t="s">
        <v>46</v>
      </c>
      <c r="F3" s="10" t="s">
        <v>589</v>
      </c>
      <c r="G3" s="11" t="s">
        <v>590</v>
      </c>
      <c r="H3" s="11" t="s">
        <v>256</v>
      </c>
      <c r="I3" s="11" t="s">
        <v>255</v>
      </c>
      <c r="J3" s="10"/>
      <c r="K3" s="10"/>
    </row>
    <row r="4" customFormat="false" ht="15" hidden="false" customHeight="true" outlineLevel="0" collapsed="false">
      <c r="A4" s="10" t="s">
        <v>587</v>
      </c>
      <c r="B4" s="11" t="s">
        <v>591</v>
      </c>
      <c r="C4" s="10" t="s">
        <v>592</v>
      </c>
      <c r="D4" s="10" t="s">
        <v>582</v>
      </c>
      <c r="E4" s="10" t="s">
        <v>582</v>
      </c>
      <c r="F4" s="10" t="s">
        <v>46</v>
      </c>
      <c r="G4" s="11" t="s">
        <v>514</v>
      </c>
      <c r="H4" s="11" t="s">
        <v>593</v>
      </c>
      <c r="I4" s="11" t="s">
        <v>510</v>
      </c>
      <c r="J4" s="10"/>
      <c r="K4" s="10"/>
    </row>
    <row r="5" customFormat="false" ht="15" hidden="false" customHeight="true" outlineLevel="0" collapsed="false">
      <c r="A5" s="10" t="s">
        <v>587</v>
      </c>
      <c r="B5" s="11" t="s">
        <v>594</v>
      </c>
      <c r="C5" s="10" t="s">
        <v>595</v>
      </c>
      <c r="D5" s="10" t="s">
        <v>582</v>
      </c>
      <c r="E5" s="10" t="s">
        <v>582</v>
      </c>
      <c r="F5" s="10" t="s">
        <v>46</v>
      </c>
      <c r="G5" s="11" t="s">
        <v>596</v>
      </c>
      <c r="H5" s="11" t="s">
        <v>485</v>
      </c>
      <c r="I5" s="11" t="s">
        <v>482</v>
      </c>
      <c r="J5" s="10"/>
      <c r="K5" s="10"/>
    </row>
    <row r="6" customFormat="false" ht="15" hidden="false" customHeight="true" outlineLevel="0" collapsed="false">
      <c r="A6" s="10" t="s">
        <v>587</v>
      </c>
      <c r="B6" s="11" t="s">
        <v>597</v>
      </c>
      <c r="C6" s="10" t="s">
        <v>595</v>
      </c>
      <c r="D6" s="10" t="s">
        <v>598</v>
      </c>
      <c r="E6" s="10" t="s">
        <v>582</v>
      </c>
      <c r="F6" s="10" t="s">
        <v>583</v>
      </c>
      <c r="G6" s="11" t="s">
        <v>350</v>
      </c>
      <c r="H6" s="11" t="s">
        <v>349</v>
      </c>
      <c r="I6" s="11" t="s">
        <v>599</v>
      </c>
      <c r="J6" s="10"/>
      <c r="K6" s="10"/>
    </row>
    <row r="7" customFormat="false" ht="15" hidden="false" customHeight="true" outlineLevel="0" collapsed="false">
      <c r="A7" s="10" t="s">
        <v>600</v>
      </c>
      <c r="B7" s="11" t="s">
        <v>601</v>
      </c>
      <c r="C7" s="10" t="s">
        <v>595</v>
      </c>
      <c r="D7" s="10" t="s">
        <v>46</v>
      </c>
      <c r="E7" s="10" t="s">
        <v>602</v>
      </c>
      <c r="F7" s="10" t="s">
        <v>46</v>
      </c>
      <c r="G7" s="11" t="s">
        <v>46</v>
      </c>
      <c r="H7" s="11" t="s">
        <v>349</v>
      </c>
      <c r="I7" s="11" t="s">
        <v>603</v>
      </c>
      <c r="J7" s="10"/>
      <c r="K7" s="10"/>
    </row>
    <row r="8" customFormat="false" ht="15" hidden="false" customHeight="true" outlineLevel="0" collapsed="false">
      <c r="A8" s="10" t="s">
        <v>587</v>
      </c>
      <c r="B8" s="11" t="s">
        <v>604</v>
      </c>
      <c r="C8" s="10" t="s">
        <v>605</v>
      </c>
      <c r="D8" s="10" t="s">
        <v>582</v>
      </c>
      <c r="E8" s="10" t="s">
        <v>582</v>
      </c>
      <c r="F8" s="10" t="s">
        <v>606</v>
      </c>
      <c r="G8" s="11" t="s">
        <v>373</v>
      </c>
      <c r="H8" s="11" t="s">
        <v>372</v>
      </c>
      <c r="I8" s="11" t="s">
        <v>369</v>
      </c>
      <c r="J8" s="10"/>
      <c r="K8" s="10"/>
    </row>
    <row r="9" customFormat="false" ht="15" hidden="false" customHeight="true" outlineLevel="0" collapsed="false">
      <c r="A9" s="10" t="s">
        <v>587</v>
      </c>
      <c r="B9" s="11" t="s">
        <v>607</v>
      </c>
      <c r="C9" s="10" t="s">
        <v>608</v>
      </c>
      <c r="D9" s="10" t="s">
        <v>582</v>
      </c>
      <c r="E9" s="10" t="s">
        <v>582</v>
      </c>
      <c r="F9" s="10" t="s">
        <v>606</v>
      </c>
      <c r="G9" s="11" t="s">
        <v>377</v>
      </c>
      <c r="H9" s="11" t="s">
        <v>376</v>
      </c>
      <c r="I9" s="11" t="s">
        <v>375</v>
      </c>
      <c r="J9" s="10"/>
      <c r="K9" s="10"/>
    </row>
    <row r="10" customFormat="false" ht="15" hidden="false" customHeight="true" outlineLevel="0" collapsed="false">
      <c r="A10" s="10" t="s">
        <v>587</v>
      </c>
      <c r="B10" s="11" t="s">
        <v>609</v>
      </c>
      <c r="C10" s="10" t="s">
        <v>610</v>
      </c>
      <c r="D10" s="10" t="s">
        <v>582</v>
      </c>
      <c r="E10" s="10" t="s">
        <v>582</v>
      </c>
      <c r="F10" s="10" t="s">
        <v>611</v>
      </c>
      <c r="G10" s="11" t="s">
        <v>367</v>
      </c>
      <c r="H10" s="11" t="s">
        <v>612</v>
      </c>
      <c r="I10" s="11" t="s">
        <v>613</v>
      </c>
      <c r="J10" s="10"/>
      <c r="K10" s="10"/>
    </row>
    <row r="11" customFormat="false" ht="15" hidden="false" customHeight="true" outlineLevel="0" collapsed="false">
      <c r="A11" s="10" t="s">
        <v>587</v>
      </c>
      <c r="B11" s="11" t="s">
        <v>614</v>
      </c>
      <c r="C11" s="10" t="s">
        <v>610</v>
      </c>
      <c r="D11" s="10" t="s">
        <v>582</v>
      </c>
      <c r="E11" s="10" t="s">
        <v>582</v>
      </c>
      <c r="F11" s="10" t="s">
        <v>611</v>
      </c>
      <c r="G11" s="11" t="s">
        <v>46</v>
      </c>
      <c r="H11" s="11" t="s">
        <v>363</v>
      </c>
      <c r="I11" s="11" t="s">
        <v>362</v>
      </c>
      <c r="J11" s="10"/>
      <c r="K11" s="10"/>
    </row>
    <row r="12" customFormat="false" ht="23.25" hidden="false" customHeight="true" outlineLevel="0" collapsed="false">
      <c r="A12" s="10" t="s">
        <v>587</v>
      </c>
      <c r="B12" s="11" t="s">
        <v>615</v>
      </c>
      <c r="C12" s="10" t="s">
        <v>592</v>
      </c>
      <c r="D12" s="10" t="s">
        <v>582</v>
      </c>
      <c r="E12" s="10" t="s">
        <v>582</v>
      </c>
      <c r="F12" s="10" t="s">
        <v>611</v>
      </c>
      <c r="G12" s="11" t="s">
        <v>329</v>
      </c>
      <c r="H12" s="11" t="s">
        <v>363</v>
      </c>
      <c r="I12" s="11" t="s">
        <v>616</v>
      </c>
      <c r="J12" s="10"/>
      <c r="K12" s="10"/>
    </row>
    <row r="13" customFormat="false" ht="15" hidden="false" customHeight="true" outlineLevel="0" collapsed="false">
      <c r="A13" s="10" t="s">
        <v>587</v>
      </c>
      <c r="B13" s="11" t="s">
        <v>617</v>
      </c>
      <c r="C13" s="10" t="s">
        <v>608</v>
      </c>
      <c r="D13" s="10" t="s">
        <v>582</v>
      </c>
      <c r="E13" s="10" t="s">
        <v>582</v>
      </c>
      <c r="F13" s="10" t="s">
        <v>618</v>
      </c>
      <c r="G13" s="11" t="s">
        <v>199</v>
      </c>
      <c r="H13" s="11" t="s">
        <v>198</v>
      </c>
      <c r="I13" s="11" t="s">
        <v>195</v>
      </c>
      <c r="J13" s="10"/>
      <c r="K13" s="10"/>
    </row>
    <row r="14" customFormat="false" ht="15" hidden="false" customHeight="true" outlineLevel="0" collapsed="false">
      <c r="A14" s="10" t="s">
        <v>579</v>
      </c>
      <c r="B14" s="11" t="s">
        <v>619</v>
      </c>
      <c r="C14" s="10" t="s">
        <v>592</v>
      </c>
      <c r="D14" s="10" t="s">
        <v>582</v>
      </c>
      <c r="E14" s="10" t="s">
        <v>582</v>
      </c>
      <c r="F14" s="10" t="s">
        <v>620</v>
      </c>
      <c r="G14" s="11" t="s">
        <v>621</v>
      </c>
      <c r="H14" s="11" t="s">
        <v>46</v>
      </c>
      <c r="I14" s="11" t="s">
        <v>622</v>
      </c>
      <c r="J14" s="10"/>
      <c r="K14" s="10"/>
    </row>
    <row r="15" customFormat="false" ht="15" hidden="false" customHeight="true" outlineLevel="0" collapsed="false">
      <c r="A15" s="10" t="s">
        <v>587</v>
      </c>
      <c r="B15" s="11" t="s">
        <v>623</v>
      </c>
      <c r="C15" s="10" t="s">
        <v>624</v>
      </c>
      <c r="D15" s="10" t="s">
        <v>582</v>
      </c>
      <c r="E15" s="10" t="s">
        <v>582</v>
      </c>
      <c r="F15" s="10" t="s">
        <v>625</v>
      </c>
      <c r="G15" s="11" t="s">
        <v>46</v>
      </c>
      <c r="H15" s="11" t="s">
        <v>626</v>
      </c>
      <c r="I15" s="11" t="s">
        <v>417</v>
      </c>
      <c r="J15" s="10"/>
      <c r="K15" s="10"/>
    </row>
    <row r="16" customFormat="false" ht="15" hidden="false" customHeight="true" outlineLevel="0" collapsed="false">
      <c r="A16" s="10" t="s">
        <v>587</v>
      </c>
      <c r="B16" s="11" t="s">
        <v>627</v>
      </c>
      <c r="C16" s="10" t="s">
        <v>628</v>
      </c>
      <c r="D16" s="10" t="s">
        <v>582</v>
      </c>
      <c r="E16" s="10" t="s">
        <v>582</v>
      </c>
      <c r="F16" s="10" t="s">
        <v>618</v>
      </c>
      <c r="G16" s="11" t="s">
        <v>46</v>
      </c>
      <c r="H16" s="11" t="s">
        <v>180</v>
      </c>
      <c r="I16" s="11" t="s">
        <v>629</v>
      </c>
      <c r="J16" s="10"/>
      <c r="K16" s="10"/>
    </row>
    <row r="17" customFormat="false" ht="15" hidden="false" customHeight="true" outlineLevel="0" collapsed="false">
      <c r="A17" s="10" t="s">
        <v>630</v>
      </c>
      <c r="B17" s="11" t="s">
        <v>631</v>
      </c>
      <c r="C17" s="10" t="s">
        <v>632</v>
      </c>
      <c r="D17" s="10" t="s">
        <v>582</v>
      </c>
      <c r="E17" s="10" t="s">
        <v>582</v>
      </c>
      <c r="F17" s="10" t="s">
        <v>589</v>
      </c>
      <c r="G17" s="11" t="s">
        <v>633</v>
      </c>
      <c r="H17" s="11" t="s">
        <v>634</v>
      </c>
      <c r="I17" s="11" t="s">
        <v>394</v>
      </c>
      <c r="J17" s="10"/>
      <c r="K17" s="10"/>
    </row>
    <row r="18" customFormat="false" ht="15" hidden="false" customHeight="true" outlineLevel="0" collapsed="false">
      <c r="A18" s="10" t="s">
        <v>587</v>
      </c>
      <c r="B18" s="11" t="s">
        <v>635</v>
      </c>
      <c r="C18" s="10" t="s">
        <v>628</v>
      </c>
      <c r="D18" s="10" t="s">
        <v>636</v>
      </c>
      <c r="E18" s="10" t="s">
        <v>582</v>
      </c>
      <c r="F18" s="10" t="s">
        <v>589</v>
      </c>
      <c r="G18" s="11" t="s">
        <v>46</v>
      </c>
      <c r="H18" s="11" t="s">
        <v>404</v>
      </c>
      <c r="I18" s="11" t="s">
        <v>403</v>
      </c>
      <c r="J18" s="10"/>
      <c r="K18" s="10"/>
    </row>
    <row r="19" customFormat="false" ht="15" hidden="false" customHeight="true" outlineLevel="0" collapsed="false">
      <c r="A19" s="10" t="s">
        <v>587</v>
      </c>
      <c r="B19" s="11" t="s">
        <v>637</v>
      </c>
      <c r="C19" s="10" t="s">
        <v>638</v>
      </c>
      <c r="D19" s="10" t="s">
        <v>582</v>
      </c>
      <c r="E19" s="10" t="s">
        <v>582</v>
      </c>
      <c r="F19" s="10" t="s">
        <v>639</v>
      </c>
      <c r="G19" s="11" t="s">
        <v>46</v>
      </c>
      <c r="H19" s="11" t="s">
        <v>640</v>
      </c>
      <c r="I19" s="11" t="s">
        <v>641</v>
      </c>
      <c r="J19" s="10"/>
      <c r="K19" s="10"/>
    </row>
    <row r="20" customFormat="false" ht="23.25" hidden="false" customHeight="true" outlineLevel="0" collapsed="false">
      <c r="A20" s="10" t="s">
        <v>642</v>
      </c>
      <c r="B20" s="11" t="s">
        <v>643</v>
      </c>
      <c r="C20" s="10" t="s">
        <v>592</v>
      </c>
      <c r="D20" s="10" t="s">
        <v>582</v>
      </c>
      <c r="E20" s="10" t="s">
        <v>582</v>
      </c>
      <c r="F20" s="10" t="s">
        <v>644</v>
      </c>
      <c r="G20" s="11" t="s">
        <v>46</v>
      </c>
      <c r="H20" s="11" t="s">
        <v>645</v>
      </c>
      <c r="I20" s="11" t="s">
        <v>646</v>
      </c>
      <c r="J20" s="10"/>
      <c r="K20" s="10"/>
    </row>
    <row r="21" customFormat="false" ht="23.25" hidden="false" customHeight="true" outlineLevel="0" collapsed="false">
      <c r="A21" s="10" t="s">
        <v>647</v>
      </c>
      <c r="B21" s="11" t="s">
        <v>648</v>
      </c>
      <c r="C21" s="10" t="s">
        <v>608</v>
      </c>
      <c r="D21" s="10" t="s">
        <v>582</v>
      </c>
      <c r="E21" s="10" t="s">
        <v>582</v>
      </c>
      <c r="F21" s="10" t="s">
        <v>644</v>
      </c>
      <c r="G21" s="11" t="s">
        <v>46</v>
      </c>
      <c r="H21" s="11" t="s">
        <v>645</v>
      </c>
      <c r="I21" s="11" t="s">
        <v>649</v>
      </c>
      <c r="J21" s="10"/>
      <c r="K21" s="10"/>
    </row>
    <row r="22" customFormat="false" ht="23.25" hidden="false" customHeight="true" outlineLevel="0" collapsed="false">
      <c r="A22" s="10" t="s">
        <v>650</v>
      </c>
      <c r="B22" s="11" t="s">
        <v>651</v>
      </c>
      <c r="C22" s="10" t="s">
        <v>628</v>
      </c>
      <c r="D22" s="10" t="s">
        <v>582</v>
      </c>
      <c r="E22" s="10" t="s">
        <v>582</v>
      </c>
      <c r="F22" s="10" t="s">
        <v>644</v>
      </c>
      <c r="G22" s="11" t="s">
        <v>46</v>
      </c>
      <c r="H22" s="11" t="s">
        <v>645</v>
      </c>
      <c r="I22" s="11" t="s">
        <v>652</v>
      </c>
      <c r="J22" s="10"/>
      <c r="K22" s="10"/>
    </row>
    <row r="23" customFormat="false" ht="15" hidden="false" customHeight="true" outlineLevel="0" collapsed="false">
      <c r="A23" s="10" t="s">
        <v>653</v>
      </c>
      <c r="B23" s="11" t="s">
        <v>654</v>
      </c>
      <c r="C23" s="10" t="s">
        <v>595</v>
      </c>
      <c r="D23" s="10" t="s">
        <v>582</v>
      </c>
      <c r="E23" s="10" t="s">
        <v>582</v>
      </c>
      <c r="F23" s="10" t="s">
        <v>655</v>
      </c>
      <c r="G23" s="11" t="s">
        <v>46</v>
      </c>
      <c r="H23" s="11" t="s">
        <v>656</v>
      </c>
      <c r="I23" s="11" t="s">
        <v>657</v>
      </c>
      <c r="J23" s="10"/>
      <c r="K23" s="10"/>
    </row>
    <row r="24" customFormat="false" ht="23.25" hidden="false" customHeight="true" outlineLevel="0" collapsed="false">
      <c r="A24" s="10" t="s">
        <v>647</v>
      </c>
      <c r="B24" s="11" t="s">
        <v>658</v>
      </c>
      <c r="C24" s="10" t="s">
        <v>659</v>
      </c>
      <c r="D24" s="10" t="s">
        <v>582</v>
      </c>
      <c r="E24" s="10" t="s">
        <v>582</v>
      </c>
      <c r="F24" s="10" t="s">
        <v>644</v>
      </c>
      <c r="G24" s="11" t="s">
        <v>46</v>
      </c>
      <c r="H24" s="11" t="s">
        <v>645</v>
      </c>
      <c r="I24" s="11" t="s">
        <v>660</v>
      </c>
      <c r="J24" s="10"/>
      <c r="K24" s="10"/>
    </row>
    <row r="25" customFormat="false" ht="15" hidden="false" customHeight="true" outlineLevel="0" collapsed="false">
      <c r="A25" s="10" t="s">
        <v>579</v>
      </c>
      <c r="B25" s="11" t="s">
        <v>661</v>
      </c>
      <c r="C25" s="10" t="s">
        <v>659</v>
      </c>
      <c r="D25" s="10" t="s">
        <v>582</v>
      </c>
      <c r="E25" s="10" t="s">
        <v>582</v>
      </c>
      <c r="F25" s="10" t="s">
        <v>662</v>
      </c>
      <c r="G25" s="11" t="s">
        <v>663</v>
      </c>
      <c r="H25" s="11" t="s">
        <v>664</v>
      </c>
      <c r="I25" s="11" t="s">
        <v>665</v>
      </c>
      <c r="J25" s="10"/>
      <c r="K25" s="10"/>
    </row>
    <row r="26" customFormat="false" ht="15" hidden="false" customHeight="true" outlineLevel="0" collapsed="false">
      <c r="A26" s="10" t="s">
        <v>666</v>
      </c>
      <c r="B26" s="11" t="s">
        <v>667</v>
      </c>
      <c r="C26" s="10" t="s">
        <v>668</v>
      </c>
      <c r="D26" s="10" t="s">
        <v>582</v>
      </c>
      <c r="E26" s="10" t="s">
        <v>582</v>
      </c>
      <c r="F26" s="10" t="s">
        <v>46</v>
      </c>
      <c r="G26" s="11" t="s">
        <v>669</v>
      </c>
      <c r="H26" s="11" t="s">
        <v>670</v>
      </c>
      <c r="I26" s="11" t="s">
        <v>266</v>
      </c>
      <c r="J26" s="10"/>
      <c r="K26" s="10"/>
    </row>
    <row r="27" customFormat="false" ht="15" hidden="false" customHeight="true" outlineLevel="0" collapsed="false">
      <c r="A27" s="10" t="s">
        <v>579</v>
      </c>
      <c r="B27" s="11" t="s">
        <v>671</v>
      </c>
      <c r="C27" s="10" t="s">
        <v>672</v>
      </c>
      <c r="D27" s="10" t="s">
        <v>582</v>
      </c>
      <c r="E27" s="10" t="s">
        <v>582</v>
      </c>
      <c r="F27" s="10" t="s">
        <v>673</v>
      </c>
      <c r="G27" s="11" t="s">
        <v>46</v>
      </c>
      <c r="H27" s="11" t="s">
        <v>674</v>
      </c>
      <c r="I27" s="11" t="s">
        <v>675</v>
      </c>
      <c r="J27" s="10"/>
      <c r="K27" s="10"/>
    </row>
    <row r="28" customFormat="false" ht="15" hidden="false" customHeight="true" outlineLevel="0" collapsed="false">
      <c r="A28" s="10" t="s">
        <v>579</v>
      </c>
      <c r="B28" s="11" t="s">
        <v>676</v>
      </c>
      <c r="C28" s="10" t="s">
        <v>672</v>
      </c>
      <c r="D28" s="10" t="s">
        <v>582</v>
      </c>
      <c r="E28" s="10" t="s">
        <v>582</v>
      </c>
      <c r="F28" s="10" t="s">
        <v>46</v>
      </c>
      <c r="G28" s="11" t="s">
        <v>677</v>
      </c>
      <c r="H28" s="11" t="s">
        <v>46</v>
      </c>
      <c r="I28" s="11" t="s">
        <v>678</v>
      </c>
      <c r="J28" s="10"/>
      <c r="K28" s="10"/>
    </row>
    <row r="29" customFormat="false" ht="15" hidden="false" customHeight="true" outlineLevel="0" collapsed="false">
      <c r="A29" s="10" t="s">
        <v>579</v>
      </c>
      <c r="B29" s="11" t="s">
        <v>679</v>
      </c>
      <c r="C29" s="10" t="s">
        <v>592</v>
      </c>
      <c r="D29" s="10" t="s">
        <v>582</v>
      </c>
      <c r="E29" s="10" t="s">
        <v>582</v>
      </c>
      <c r="F29" s="10" t="s">
        <v>680</v>
      </c>
      <c r="G29" s="11" t="s">
        <v>681</v>
      </c>
      <c r="H29" s="11" t="s">
        <v>682</v>
      </c>
      <c r="I29" s="11" t="s">
        <v>683</v>
      </c>
      <c r="J29" s="10"/>
      <c r="K29" s="10"/>
    </row>
    <row r="30" customFormat="false" ht="15" hidden="false" customHeight="true" outlineLevel="0" collapsed="false">
      <c r="A30" s="10" t="s">
        <v>587</v>
      </c>
      <c r="B30" s="11" t="s">
        <v>684</v>
      </c>
      <c r="C30" s="10" t="s">
        <v>685</v>
      </c>
      <c r="D30" s="10" t="s">
        <v>582</v>
      </c>
      <c r="E30" s="10" t="s">
        <v>582</v>
      </c>
      <c r="F30" s="10" t="s">
        <v>639</v>
      </c>
      <c r="G30" s="11" t="s">
        <v>46</v>
      </c>
      <c r="H30" s="11" t="s">
        <v>53</v>
      </c>
      <c r="I30" s="11" t="s">
        <v>686</v>
      </c>
      <c r="J30" s="10"/>
      <c r="K30" s="10"/>
    </row>
    <row r="31" customFormat="false" ht="15" hidden="false" customHeight="true" outlineLevel="0" collapsed="false">
      <c r="A31" s="10" t="s">
        <v>687</v>
      </c>
      <c r="B31" s="11" t="s">
        <v>688</v>
      </c>
      <c r="C31" s="10" t="s">
        <v>689</v>
      </c>
      <c r="D31" s="10" t="s">
        <v>582</v>
      </c>
      <c r="E31" s="10" t="s">
        <v>582</v>
      </c>
      <c r="F31" s="10" t="s">
        <v>46</v>
      </c>
      <c r="G31" s="11" t="s">
        <v>690</v>
      </c>
      <c r="H31" s="11" t="s">
        <v>691</v>
      </c>
      <c r="I31" s="11" t="s">
        <v>692</v>
      </c>
      <c r="J31" s="10"/>
      <c r="K31" s="10"/>
    </row>
    <row r="32" customFormat="false" ht="15" hidden="false" customHeight="true" outlineLevel="0" collapsed="false">
      <c r="A32" s="10" t="s">
        <v>693</v>
      </c>
      <c r="B32" s="11" t="s">
        <v>694</v>
      </c>
      <c r="C32" s="10" t="s">
        <v>695</v>
      </c>
      <c r="D32" s="10" t="s">
        <v>582</v>
      </c>
      <c r="E32" s="10" t="s">
        <v>582</v>
      </c>
      <c r="F32" s="10" t="s">
        <v>46</v>
      </c>
      <c r="G32" s="11" t="s">
        <v>696</v>
      </c>
      <c r="H32" s="11" t="s">
        <v>697</v>
      </c>
      <c r="I32" s="11" t="s">
        <v>427</v>
      </c>
      <c r="J32" s="10"/>
      <c r="K32" s="10"/>
    </row>
    <row r="33" customFormat="false" ht="15" hidden="false" customHeight="true" outlineLevel="0" collapsed="false">
      <c r="A33" s="10" t="s">
        <v>653</v>
      </c>
      <c r="B33" s="11" t="s">
        <v>698</v>
      </c>
      <c r="C33" s="10" t="s">
        <v>699</v>
      </c>
      <c r="D33" s="10" t="s">
        <v>582</v>
      </c>
      <c r="E33" s="10" t="s">
        <v>582</v>
      </c>
      <c r="F33" s="10" t="s">
        <v>46</v>
      </c>
      <c r="G33" s="11" t="s">
        <v>700</v>
      </c>
      <c r="H33" s="11" t="s">
        <v>701</v>
      </c>
      <c r="I33" s="11" t="s">
        <v>436</v>
      </c>
      <c r="J33" s="10"/>
      <c r="K33" s="10"/>
    </row>
    <row r="34" customFormat="false" ht="15" hidden="false" customHeight="true" outlineLevel="0" collapsed="false">
      <c r="A34" s="10" t="s">
        <v>587</v>
      </c>
      <c r="B34" s="11" t="s">
        <v>702</v>
      </c>
      <c r="C34" s="10" t="s">
        <v>703</v>
      </c>
      <c r="D34" s="10" t="s">
        <v>582</v>
      </c>
      <c r="E34" s="10" t="s">
        <v>582</v>
      </c>
      <c r="F34" s="10" t="s">
        <v>639</v>
      </c>
      <c r="G34" s="11" t="s">
        <v>704</v>
      </c>
      <c r="H34" s="11" t="s">
        <v>705</v>
      </c>
      <c r="I34" s="11" t="s">
        <v>379</v>
      </c>
      <c r="J34" s="10"/>
      <c r="K34" s="10"/>
    </row>
    <row r="35" customFormat="false" ht="15" hidden="false" customHeight="true" outlineLevel="0" collapsed="false">
      <c r="A35" s="10" t="s">
        <v>579</v>
      </c>
      <c r="B35" s="11" t="s">
        <v>706</v>
      </c>
      <c r="C35" s="10" t="s">
        <v>659</v>
      </c>
      <c r="D35" s="10" t="s">
        <v>582</v>
      </c>
      <c r="E35" s="10" t="s">
        <v>582</v>
      </c>
      <c r="F35" s="10" t="s">
        <v>707</v>
      </c>
      <c r="G35" s="11" t="s">
        <v>46</v>
      </c>
      <c r="H35" s="11" t="s">
        <v>708</v>
      </c>
      <c r="I35" s="11" t="s">
        <v>709</v>
      </c>
      <c r="J35" s="10"/>
      <c r="K35" s="10"/>
    </row>
    <row r="36" customFormat="false" ht="15" hidden="false" customHeight="true" outlineLevel="0" collapsed="false">
      <c r="A36" s="10" t="s">
        <v>600</v>
      </c>
      <c r="B36" s="11" t="s">
        <v>710</v>
      </c>
      <c r="C36" s="10" t="s">
        <v>628</v>
      </c>
      <c r="D36" s="10" t="s">
        <v>582</v>
      </c>
      <c r="E36" s="10" t="s">
        <v>582</v>
      </c>
      <c r="F36" s="10" t="s">
        <v>46</v>
      </c>
      <c r="G36" s="11" t="s">
        <v>335</v>
      </c>
      <c r="H36" s="11" t="s">
        <v>711</v>
      </c>
      <c r="I36" s="11" t="s">
        <v>712</v>
      </c>
      <c r="J36" s="10"/>
      <c r="K36" s="10"/>
    </row>
    <row r="37" customFormat="false" ht="15" hidden="false" customHeight="true" outlineLevel="0" collapsed="false">
      <c r="A37" s="10" t="s">
        <v>600</v>
      </c>
      <c r="B37" s="11" t="s">
        <v>713</v>
      </c>
      <c r="C37" s="10" t="s">
        <v>714</v>
      </c>
      <c r="D37" s="10" t="s">
        <v>582</v>
      </c>
      <c r="E37" s="10" t="s">
        <v>582</v>
      </c>
      <c r="F37" s="10" t="s">
        <v>46</v>
      </c>
      <c r="G37" s="11" t="s">
        <v>46</v>
      </c>
      <c r="H37" s="11" t="s">
        <v>715</v>
      </c>
      <c r="I37" s="11" t="s">
        <v>716</v>
      </c>
      <c r="J37" s="10"/>
      <c r="K37" s="10"/>
    </row>
    <row r="38" customFormat="false" ht="15" hidden="false" customHeight="true" outlineLevel="0" collapsed="false">
      <c r="A38" s="10" t="s">
        <v>587</v>
      </c>
      <c r="B38" s="11" t="s">
        <v>717</v>
      </c>
      <c r="C38" s="10" t="s">
        <v>659</v>
      </c>
      <c r="D38" s="10" t="s">
        <v>46</v>
      </c>
      <c r="E38" s="10" t="s">
        <v>718</v>
      </c>
      <c r="F38" s="10" t="s">
        <v>46</v>
      </c>
      <c r="G38" s="11" t="s">
        <v>46</v>
      </c>
      <c r="H38" s="11" t="s">
        <v>124</v>
      </c>
      <c r="I38" s="11" t="s">
        <v>123</v>
      </c>
      <c r="J38" s="10"/>
      <c r="K38" s="10"/>
    </row>
    <row r="39" customFormat="false" ht="15" hidden="false" customHeight="true" outlineLevel="0" collapsed="false">
      <c r="A39" s="10" t="s">
        <v>579</v>
      </c>
      <c r="B39" s="11" t="s">
        <v>719</v>
      </c>
      <c r="C39" s="10" t="s">
        <v>46</v>
      </c>
      <c r="D39" s="10" t="s">
        <v>46</v>
      </c>
      <c r="E39" s="10" t="s">
        <v>46</v>
      </c>
      <c r="F39" s="10" t="s">
        <v>46</v>
      </c>
      <c r="G39" s="11" t="s">
        <v>720</v>
      </c>
      <c r="H39" s="11" t="s">
        <v>721</v>
      </c>
      <c r="I39" s="11" t="s">
        <v>241</v>
      </c>
      <c r="J39" s="10"/>
      <c r="K39" s="10"/>
    </row>
  </sheetData>
  <autoFilter ref="A1:K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80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11"/>
  </cols>
  <sheetData>
    <row r="1" customFormat="false" ht="15" hidden="false" customHeight="true" outlineLevel="0" collapsed="false">
      <c r="A1" s="9" t="s">
        <v>722</v>
      </c>
      <c r="B1" s="9" t="s">
        <v>723</v>
      </c>
      <c r="C1" s="9" t="s">
        <v>724</v>
      </c>
      <c r="D1" s="13" t="s">
        <v>725</v>
      </c>
      <c r="E1" s="13" t="s">
        <v>726</v>
      </c>
      <c r="F1" s="13" t="s">
        <v>727</v>
      </c>
    </row>
    <row r="2" customFormat="false" ht="23.25" hidden="false" customHeight="true" outlineLevel="0" collapsed="false">
      <c r="A2" s="10" t="s">
        <v>728</v>
      </c>
      <c r="B2" s="11" t="s">
        <v>729</v>
      </c>
      <c r="C2" s="11" t="s">
        <v>730</v>
      </c>
      <c r="D2" s="11"/>
      <c r="E2" s="10"/>
      <c r="F2" s="10"/>
    </row>
    <row r="3" customFormat="false" ht="23.25" hidden="false" customHeight="true" outlineLevel="0" collapsed="false">
      <c r="A3" s="10" t="s">
        <v>731</v>
      </c>
      <c r="B3" s="11" t="s">
        <v>732</v>
      </c>
      <c r="C3" s="11" t="s">
        <v>733</v>
      </c>
      <c r="D3" s="11"/>
      <c r="E3" s="10"/>
      <c r="F3" s="10"/>
    </row>
    <row r="4" customFormat="false" ht="23.25" hidden="false" customHeight="true" outlineLevel="0" collapsed="false">
      <c r="A4" s="10" t="s">
        <v>734</v>
      </c>
      <c r="B4" s="11" t="s">
        <v>735</v>
      </c>
      <c r="C4" s="11" t="s">
        <v>736</v>
      </c>
      <c r="D4" s="11"/>
      <c r="E4" s="10"/>
      <c r="F4" s="10"/>
    </row>
    <row r="5" customFormat="false" ht="15" hidden="false" customHeight="true" outlineLevel="0" collapsed="false">
      <c r="A5" s="10" t="s">
        <v>737</v>
      </c>
      <c r="B5" s="11" t="s">
        <v>738</v>
      </c>
      <c r="C5" s="11" t="s">
        <v>739</v>
      </c>
      <c r="D5" s="11"/>
      <c r="E5" s="10"/>
      <c r="F5" s="10"/>
    </row>
    <row r="6" customFormat="false" ht="15" hidden="false" customHeight="true" outlineLevel="0" collapsed="false">
      <c r="A6" s="10" t="s">
        <v>740</v>
      </c>
      <c r="B6" s="11" t="s">
        <v>741</v>
      </c>
      <c r="C6" s="11" t="s">
        <v>742</v>
      </c>
      <c r="D6" s="11"/>
      <c r="E6" s="10"/>
      <c r="F6" s="10"/>
    </row>
    <row r="7" customFormat="false" ht="15" hidden="false" customHeight="true" outlineLevel="0" collapsed="false">
      <c r="A7" s="10" t="s">
        <v>743</v>
      </c>
      <c r="B7" s="11" t="s">
        <v>744</v>
      </c>
      <c r="C7" s="11" t="s">
        <v>745</v>
      </c>
      <c r="D7" s="11"/>
      <c r="E7" s="10"/>
      <c r="F7" s="10"/>
    </row>
    <row r="8" customFormat="false" ht="23.25" hidden="false" customHeight="true" outlineLevel="0" collapsed="false">
      <c r="A8" s="10" t="s">
        <v>746</v>
      </c>
      <c r="B8" s="11" t="s">
        <v>747</v>
      </c>
      <c r="C8" s="11" t="s">
        <v>748</v>
      </c>
      <c r="D8" s="11"/>
      <c r="E8" s="10"/>
      <c r="F8" s="10"/>
    </row>
    <row r="9" customFormat="false" ht="23.25" hidden="false" customHeight="true" outlineLevel="0" collapsed="false">
      <c r="A9" s="10" t="s">
        <v>749</v>
      </c>
      <c r="B9" s="11" t="s">
        <v>750</v>
      </c>
      <c r="C9" s="11" t="s">
        <v>751</v>
      </c>
      <c r="D9" s="11"/>
      <c r="E9" s="10"/>
      <c r="F9" s="10"/>
    </row>
    <row r="10" customFormat="false" ht="23.25" hidden="false" customHeight="true" outlineLevel="0" collapsed="false">
      <c r="A10" s="10" t="s">
        <v>752</v>
      </c>
      <c r="B10" s="11" t="s">
        <v>753</v>
      </c>
      <c r="C10" s="11" t="s">
        <v>754</v>
      </c>
      <c r="D10" s="11"/>
      <c r="E10" s="10"/>
      <c r="F10" s="10"/>
    </row>
    <row r="11" customFormat="false" ht="15" hidden="false" customHeight="true" outlineLevel="0" collapsed="false">
      <c r="A11" s="10" t="s">
        <v>755</v>
      </c>
      <c r="B11" s="11" t="s">
        <v>756</v>
      </c>
      <c r="C11" s="11" t="s">
        <v>757</v>
      </c>
      <c r="D11" s="11"/>
      <c r="E11" s="10"/>
      <c r="F1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2"/>
    <col collapsed="false" customWidth="true" hidden="false" outlineLevel="0" max="3" min="3" style="1" width="14"/>
    <col collapsed="false" customWidth="true" hidden="false" outlineLevel="0" max="4" min="4" style="1" width="44"/>
    <col collapsed="false" customWidth="true" hidden="false" outlineLevel="0" max="6" min="5" style="1" width="10"/>
  </cols>
  <sheetData>
    <row r="1" customFormat="false" ht="15" hidden="false" customHeight="true" outlineLevel="0" collapsed="false">
      <c r="A1" s="9" t="s">
        <v>40</v>
      </c>
      <c r="B1" s="9" t="s">
        <v>758</v>
      </c>
      <c r="C1" s="9" t="s">
        <v>570</v>
      </c>
      <c r="D1" s="9" t="s">
        <v>759</v>
      </c>
      <c r="E1" s="13" t="s">
        <v>578</v>
      </c>
      <c r="F1" s="13" t="s">
        <v>567</v>
      </c>
    </row>
    <row r="2" customFormat="false" ht="15" hidden="false" customHeight="true" outlineLevel="0" collapsed="false">
      <c r="A2" s="10" t="s">
        <v>183</v>
      </c>
      <c r="B2" s="11" t="s">
        <v>760</v>
      </c>
      <c r="C2" s="10" t="s">
        <v>761</v>
      </c>
      <c r="D2" s="11" t="s">
        <v>762</v>
      </c>
      <c r="E2" s="10"/>
      <c r="F2" s="10"/>
    </row>
    <row r="3" customFormat="false" ht="15" hidden="false" customHeight="true" outlineLevel="0" collapsed="false">
      <c r="A3" s="10" t="s">
        <v>183</v>
      </c>
      <c r="B3" s="11" t="s">
        <v>763</v>
      </c>
      <c r="C3" s="10" t="s">
        <v>764</v>
      </c>
      <c r="D3" s="11" t="s">
        <v>765</v>
      </c>
      <c r="E3" s="10"/>
      <c r="F3" s="10"/>
    </row>
    <row r="4" customFormat="false" ht="15" hidden="false" customHeight="true" outlineLevel="0" collapsed="false">
      <c r="A4" s="10" t="s">
        <v>183</v>
      </c>
      <c r="B4" s="11" t="s">
        <v>766</v>
      </c>
      <c r="C4" s="10" t="s">
        <v>767</v>
      </c>
      <c r="D4" s="11" t="s">
        <v>768</v>
      </c>
      <c r="E4" s="10"/>
      <c r="F4" s="10"/>
    </row>
    <row r="5" customFormat="false" ht="23.25" hidden="false" customHeight="true" outlineLevel="0" collapsed="false">
      <c r="A5" s="10" t="s">
        <v>48</v>
      </c>
      <c r="B5" s="11" t="s">
        <v>769</v>
      </c>
      <c r="C5" s="10" t="s">
        <v>770</v>
      </c>
      <c r="D5" s="11" t="s">
        <v>771</v>
      </c>
      <c r="E5" s="10"/>
      <c r="F5" s="10"/>
    </row>
    <row r="6" customFormat="false" ht="23.25" hidden="false" customHeight="true" outlineLevel="0" collapsed="false">
      <c r="A6" s="10" t="s">
        <v>48</v>
      </c>
      <c r="B6" s="11" t="s">
        <v>772</v>
      </c>
      <c r="C6" s="10" t="s">
        <v>46</v>
      </c>
      <c r="D6" s="11" t="s">
        <v>773</v>
      </c>
      <c r="E6" s="10"/>
      <c r="F6" s="10"/>
    </row>
    <row r="7" customFormat="false" ht="23.25" hidden="false" customHeight="true" outlineLevel="0" collapsed="false">
      <c r="A7" s="10" t="s">
        <v>48</v>
      </c>
      <c r="B7" s="11" t="s">
        <v>774</v>
      </c>
      <c r="C7" s="10" t="s">
        <v>600</v>
      </c>
      <c r="D7" s="11" t="s">
        <v>775</v>
      </c>
      <c r="E7" s="10"/>
      <c r="F7" s="10"/>
    </row>
    <row r="8" customFormat="false" ht="15" hidden="false" customHeight="true" outlineLevel="0" collapsed="false">
      <c r="A8" s="10" t="s">
        <v>70</v>
      </c>
      <c r="B8" s="11" t="s">
        <v>776</v>
      </c>
      <c r="C8" s="10" t="s">
        <v>579</v>
      </c>
      <c r="D8" s="11" t="s">
        <v>241</v>
      </c>
      <c r="E8" s="10"/>
      <c r="F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70"/>
    <col collapsed="false" customWidth="true" hidden="false" outlineLevel="0" max="4" min="4" style="1" width="52"/>
    <col collapsed="false" customWidth="true" hidden="false" outlineLevel="0" max="5" min="5" style="1" width="13"/>
  </cols>
  <sheetData>
    <row r="1" customFormat="false" ht="15" hidden="false" customHeight="true" outlineLevel="0" collapsed="false">
      <c r="A1" s="9" t="s">
        <v>32</v>
      </c>
      <c r="B1" s="9" t="s">
        <v>33</v>
      </c>
      <c r="C1" s="9" t="s">
        <v>777</v>
      </c>
      <c r="D1" s="9" t="s">
        <v>778</v>
      </c>
      <c r="E1" s="9" t="s">
        <v>779</v>
      </c>
    </row>
    <row r="2" customFormat="false" ht="15" hidden="false" customHeight="true" outlineLevel="0" collapsed="false">
      <c r="A2" s="10" t="s">
        <v>780</v>
      </c>
      <c r="B2" s="10" t="s">
        <v>42</v>
      </c>
      <c r="C2" s="11" t="s">
        <v>781</v>
      </c>
      <c r="D2" s="11" t="s">
        <v>782</v>
      </c>
      <c r="E2" s="10" t="s">
        <v>48</v>
      </c>
    </row>
    <row r="3" customFormat="false" ht="15" hidden="false" customHeight="true" outlineLevel="0" collapsed="false">
      <c r="A3" s="10" t="s">
        <v>783</v>
      </c>
      <c r="B3" s="10" t="s">
        <v>42</v>
      </c>
      <c r="C3" s="11" t="s">
        <v>784</v>
      </c>
      <c r="D3" s="11" t="s">
        <v>782</v>
      </c>
      <c r="E3" s="10" t="s">
        <v>70</v>
      </c>
    </row>
    <row r="4" customFormat="false" ht="15" hidden="false" customHeight="true" outlineLevel="0" collapsed="false">
      <c r="A4" s="10" t="s">
        <v>785</v>
      </c>
      <c r="B4" s="10" t="s">
        <v>42</v>
      </c>
      <c r="C4" s="11" t="s">
        <v>786</v>
      </c>
      <c r="D4" s="11" t="s">
        <v>782</v>
      </c>
      <c r="E4" s="10" t="s">
        <v>48</v>
      </c>
    </row>
    <row r="5" customFormat="false" ht="15" hidden="false" customHeight="true" outlineLevel="0" collapsed="false">
      <c r="A5" s="10" t="s">
        <v>787</v>
      </c>
      <c r="B5" s="10" t="s">
        <v>42</v>
      </c>
      <c r="C5" s="11" t="s">
        <v>788</v>
      </c>
      <c r="D5" s="11" t="s">
        <v>782</v>
      </c>
      <c r="E5" s="10" t="s">
        <v>70</v>
      </c>
    </row>
    <row r="6" customFormat="false" ht="23.25" hidden="false" customHeight="true" outlineLevel="0" collapsed="false">
      <c r="A6" s="10" t="s">
        <v>789</v>
      </c>
      <c r="B6" s="10" t="s">
        <v>42</v>
      </c>
      <c r="C6" s="11" t="s">
        <v>790</v>
      </c>
      <c r="D6" s="11" t="s">
        <v>791</v>
      </c>
      <c r="E6" s="10" t="s">
        <v>183</v>
      </c>
    </row>
    <row r="7" customFormat="false" ht="23.25" hidden="false" customHeight="true" outlineLevel="0" collapsed="false">
      <c r="A7" s="10" t="s">
        <v>792</v>
      </c>
      <c r="B7" s="10" t="s">
        <v>42</v>
      </c>
      <c r="C7" s="11" t="s">
        <v>793</v>
      </c>
      <c r="D7" s="11" t="s">
        <v>791</v>
      </c>
      <c r="E7" s="10" t="s">
        <v>183</v>
      </c>
    </row>
    <row r="8" customFormat="false" ht="15" hidden="false" customHeight="true" outlineLevel="0" collapsed="false">
      <c r="A8" s="10" t="s">
        <v>794</v>
      </c>
      <c r="B8" s="10" t="s">
        <v>42</v>
      </c>
      <c r="C8" s="11" t="s">
        <v>795</v>
      </c>
      <c r="D8" s="11" t="s">
        <v>782</v>
      </c>
      <c r="E8" s="10" t="s">
        <v>48</v>
      </c>
    </row>
    <row r="9" customFormat="false" ht="15" hidden="false" customHeight="true" outlineLevel="0" collapsed="false">
      <c r="A9" s="10" t="s">
        <v>796</v>
      </c>
      <c r="B9" s="10" t="s">
        <v>42</v>
      </c>
      <c r="C9" s="11" t="s">
        <v>797</v>
      </c>
      <c r="D9" s="11" t="s">
        <v>782</v>
      </c>
      <c r="E9" s="10" t="s">
        <v>116</v>
      </c>
    </row>
    <row r="10" customFormat="false" ht="15" hidden="false" customHeight="true" outlineLevel="0" collapsed="false">
      <c r="A10" s="10" t="s">
        <v>798</v>
      </c>
      <c r="B10" s="10" t="s">
        <v>42</v>
      </c>
      <c r="C10" s="11" t="s">
        <v>799</v>
      </c>
      <c r="D10" s="11" t="s">
        <v>782</v>
      </c>
      <c r="E10" s="10" t="s">
        <v>116</v>
      </c>
    </row>
    <row r="11" customFormat="false" ht="15" hidden="false" customHeight="true" outlineLevel="0" collapsed="false">
      <c r="A11" s="10" t="s">
        <v>800</v>
      </c>
      <c r="B11" s="10" t="s">
        <v>42</v>
      </c>
      <c r="C11" s="11" t="s">
        <v>801</v>
      </c>
      <c r="D11" s="11" t="s">
        <v>782</v>
      </c>
      <c r="E11" s="10" t="s">
        <v>183</v>
      </c>
    </row>
    <row r="12" customFormat="false" ht="15" hidden="false" customHeight="true" outlineLevel="0" collapsed="false">
      <c r="A12" s="10" t="s">
        <v>802</v>
      </c>
      <c r="B12" s="10" t="s">
        <v>42</v>
      </c>
      <c r="C12" s="11" t="s">
        <v>803</v>
      </c>
      <c r="D12" s="11" t="s">
        <v>782</v>
      </c>
      <c r="E12" s="10" t="s">
        <v>183</v>
      </c>
    </row>
    <row r="13" customFormat="false" ht="15" hidden="false" customHeight="true" outlineLevel="0" collapsed="false">
      <c r="A13" s="10" t="s">
        <v>804</v>
      </c>
      <c r="B13" s="10" t="s">
        <v>42</v>
      </c>
      <c r="C13" s="11" t="s">
        <v>805</v>
      </c>
      <c r="D13" s="11" t="s">
        <v>782</v>
      </c>
      <c r="E13" s="10" t="s">
        <v>183</v>
      </c>
    </row>
    <row r="14" customFormat="false" ht="15" hidden="false" customHeight="true" outlineLevel="0" collapsed="false">
      <c r="A14" s="10" t="s">
        <v>806</v>
      </c>
      <c r="B14" s="10" t="s">
        <v>42</v>
      </c>
      <c r="C14" s="11" t="s">
        <v>807</v>
      </c>
      <c r="D14" s="11" t="s">
        <v>782</v>
      </c>
      <c r="E14" s="10" t="s">
        <v>183</v>
      </c>
    </row>
    <row r="15" customFormat="false" ht="15" hidden="false" customHeight="true" outlineLevel="0" collapsed="false">
      <c r="A15" s="10" t="s">
        <v>808</v>
      </c>
      <c r="B15" s="10" t="s">
        <v>42</v>
      </c>
      <c r="C15" s="11" t="s">
        <v>786</v>
      </c>
      <c r="D15" s="11" t="s">
        <v>782</v>
      </c>
      <c r="E15" s="10" t="s">
        <v>48</v>
      </c>
    </row>
    <row r="16" customFormat="false" ht="23.25" hidden="false" customHeight="true" outlineLevel="0" collapsed="false">
      <c r="A16" s="10" t="s">
        <v>809</v>
      </c>
      <c r="B16" s="10" t="s">
        <v>42</v>
      </c>
      <c r="C16" s="11" t="s">
        <v>810</v>
      </c>
      <c r="D16" s="11" t="s">
        <v>782</v>
      </c>
      <c r="E16" s="10" t="s">
        <v>183</v>
      </c>
    </row>
    <row r="17" customFormat="false" ht="15" hidden="false" customHeight="true" outlineLevel="0" collapsed="false">
      <c r="A17" s="10" t="s">
        <v>811</v>
      </c>
      <c r="B17" s="10" t="s">
        <v>42</v>
      </c>
      <c r="C17" s="11" t="s">
        <v>812</v>
      </c>
      <c r="D17" s="11" t="s">
        <v>782</v>
      </c>
      <c r="E17" s="10" t="s">
        <v>183</v>
      </c>
    </row>
    <row r="18" customFormat="false" ht="15" hidden="false" customHeight="true" outlineLevel="0" collapsed="false">
      <c r="A18" s="10" t="s">
        <v>813</v>
      </c>
      <c r="B18" s="10" t="s">
        <v>42</v>
      </c>
      <c r="C18" s="11" t="s">
        <v>814</v>
      </c>
      <c r="D18" s="11" t="s">
        <v>782</v>
      </c>
      <c r="E18" s="10" t="s">
        <v>48</v>
      </c>
    </row>
    <row r="19" customFormat="false" ht="15" hidden="false" customHeight="true" outlineLevel="0" collapsed="false">
      <c r="A19" s="10" t="s">
        <v>815</v>
      </c>
      <c r="B19" s="10" t="s">
        <v>42</v>
      </c>
      <c r="C19" s="11" t="s">
        <v>816</v>
      </c>
      <c r="D19" s="11" t="s">
        <v>782</v>
      </c>
      <c r="E19" s="10" t="s">
        <v>183</v>
      </c>
    </row>
    <row r="20" customFormat="false" ht="15" hidden="false" customHeight="true" outlineLevel="0" collapsed="false">
      <c r="A20" s="10" t="s">
        <v>817</v>
      </c>
      <c r="B20" s="10" t="s">
        <v>42</v>
      </c>
      <c r="C20" s="11" t="s">
        <v>818</v>
      </c>
      <c r="D20" s="11" t="s">
        <v>782</v>
      </c>
      <c r="E20" s="10" t="s">
        <v>48</v>
      </c>
    </row>
    <row r="21" customFormat="false" ht="15" hidden="false" customHeight="true" outlineLevel="0" collapsed="false">
      <c r="A21" s="10" t="s">
        <v>819</v>
      </c>
      <c r="B21" s="10" t="s">
        <v>42</v>
      </c>
      <c r="C21" s="11" t="s">
        <v>820</v>
      </c>
      <c r="D21" s="11" t="s">
        <v>782</v>
      </c>
      <c r="E21" s="10" t="s">
        <v>48</v>
      </c>
    </row>
    <row r="22" customFormat="false" ht="15" hidden="false" customHeight="true" outlineLevel="0" collapsed="false">
      <c r="A22" s="10" t="s">
        <v>821</v>
      </c>
      <c r="B22" s="10" t="s">
        <v>42</v>
      </c>
      <c r="C22" s="11" t="s">
        <v>822</v>
      </c>
      <c r="D22" s="11" t="s">
        <v>782</v>
      </c>
      <c r="E22" s="10" t="s">
        <v>48</v>
      </c>
    </row>
    <row r="23" customFormat="false" ht="15" hidden="false" customHeight="true" outlineLevel="0" collapsed="false">
      <c r="A23" s="10" t="s">
        <v>823</v>
      </c>
      <c r="B23" s="10" t="s">
        <v>42</v>
      </c>
      <c r="C23" s="11" t="s">
        <v>824</v>
      </c>
      <c r="D23" s="11" t="s">
        <v>782</v>
      </c>
      <c r="E23" s="10" t="s">
        <v>48</v>
      </c>
    </row>
    <row r="24" customFormat="false" ht="23.25" hidden="false" customHeight="true" outlineLevel="0" collapsed="false">
      <c r="A24" s="10" t="s">
        <v>825</v>
      </c>
      <c r="B24" s="10" t="s">
        <v>42</v>
      </c>
      <c r="C24" s="11" t="s">
        <v>826</v>
      </c>
      <c r="D24" s="11" t="s">
        <v>782</v>
      </c>
      <c r="E24" s="10" t="s">
        <v>48</v>
      </c>
    </row>
    <row r="25" customFormat="false" ht="15" hidden="false" customHeight="true" outlineLevel="0" collapsed="false">
      <c r="A25" s="10" t="s">
        <v>827</v>
      </c>
      <c r="B25" s="10" t="s">
        <v>42</v>
      </c>
      <c r="C25" s="11" t="s">
        <v>828</v>
      </c>
      <c r="D25" s="11" t="s">
        <v>782</v>
      </c>
      <c r="E25" s="10" t="s">
        <v>48</v>
      </c>
    </row>
    <row r="26" customFormat="false" ht="15" hidden="false" customHeight="true" outlineLevel="0" collapsed="false">
      <c r="A26" s="10" t="s">
        <v>829</v>
      </c>
      <c r="B26" s="10" t="s">
        <v>42</v>
      </c>
      <c r="C26" s="11" t="s">
        <v>830</v>
      </c>
      <c r="D26" s="11" t="s">
        <v>782</v>
      </c>
      <c r="E26" s="10" t="s">
        <v>116</v>
      </c>
    </row>
    <row r="27" customFormat="false" ht="15" hidden="false" customHeight="true" outlineLevel="0" collapsed="false">
      <c r="A27" s="10" t="s">
        <v>831</v>
      </c>
      <c r="B27" s="10" t="s">
        <v>42</v>
      </c>
      <c r="C27" s="11" t="s">
        <v>832</v>
      </c>
      <c r="D27" s="11" t="s">
        <v>782</v>
      </c>
      <c r="E27" s="10" t="s">
        <v>48</v>
      </c>
    </row>
    <row r="28" customFormat="false" ht="15" hidden="false" customHeight="true" outlineLevel="0" collapsed="false">
      <c r="A28" s="10" t="s">
        <v>833</v>
      </c>
      <c r="B28" s="10" t="s">
        <v>42</v>
      </c>
      <c r="C28" s="11" t="s">
        <v>834</v>
      </c>
      <c r="D28" s="11" t="s">
        <v>782</v>
      </c>
      <c r="E28" s="10" t="s">
        <v>116</v>
      </c>
    </row>
    <row r="29" customFormat="false" ht="15" hidden="false" customHeight="true" outlineLevel="0" collapsed="false">
      <c r="A29" s="10" t="s">
        <v>835</v>
      </c>
      <c r="B29" s="10" t="s">
        <v>42</v>
      </c>
      <c r="C29" s="11" t="s">
        <v>836</v>
      </c>
      <c r="D29" s="11" t="s">
        <v>782</v>
      </c>
      <c r="E29" s="10" t="s">
        <v>48</v>
      </c>
    </row>
    <row r="30" customFormat="false" ht="15" hidden="false" customHeight="true" outlineLevel="0" collapsed="false">
      <c r="A30" s="10" t="s">
        <v>837</v>
      </c>
      <c r="B30" s="10" t="s">
        <v>42</v>
      </c>
      <c r="C30" s="11" t="s">
        <v>838</v>
      </c>
      <c r="D30" s="11" t="s">
        <v>782</v>
      </c>
      <c r="E30" s="10" t="s">
        <v>183</v>
      </c>
    </row>
    <row r="31" customFormat="false" ht="15" hidden="false" customHeight="true" outlineLevel="0" collapsed="false">
      <c r="A31" s="10" t="s">
        <v>839</v>
      </c>
      <c r="B31" s="10" t="s">
        <v>42</v>
      </c>
      <c r="C31" s="11" t="s">
        <v>840</v>
      </c>
      <c r="D31" s="11" t="s">
        <v>782</v>
      </c>
      <c r="E31" s="10" t="s">
        <v>116</v>
      </c>
    </row>
    <row r="32" customFormat="false" ht="15" hidden="false" customHeight="true" outlineLevel="0" collapsed="false">
      <c r="A32" s="10" t="s">
        <v>841</v>
      </c>
      <c r="B32" s="10" t="s">
        <v>93</v>
      </c>
      <c r="C32" s="11" t="s">
        <v>842</v>
      </c>
      <c r="D32" s="11" t="s">
        <v>782</v>
      </c>
      <c r="E32" s="10" t="s">
        <v>48</v>
      </c>
    </row>
    <row r="33" customFormat="false" ht="15" hidden="false" customHeight="true" outlineLevel="0" collapsed="false">
      <c r="A33" s="10" t="s">
        <v>843</v>
      </c>
      <c r="B33" s="10" t="s">
        <v>93</v>
      </c>
      <c r="C33" s="11" t="s">
        <v>844</v>
      </c>
      <c r="D33" s="11" t="s">
        <v>782</v>
      </c>
      <c r="E33" s="10" t="s">
        <v>48</v>
      </c>
    </row>
    <row r="34" customFormat="false" ht="15" hidden="false" customHeight="true" outlineLevel="0" collapsed="false">
      <c r="A34" s="10" t="s">
        <v>845</v>
      </c>
      <c r="B34" s="10" t="s">
        <v>93</v>
      </c>
      <c r="C34" s="11" t="s">
        <v>846</v>
      </c>
      <c r="D34" s="11" t="s">
        <v>782</v>
      </c>
      <c r="E34" s="10" t="s">
        <v>183</v>
      </c>
    </row>
    <row r="35" customFormat="false" ht="15" hidden="false" customHeight="true" outlineLevel="0" collapsed="false">
      <c r="A35" s="10" t="s">
        <v>847</v>
      </c>
      <c r="B35" s="10" t="s">
        <v>93</v>
      </c>
      <c r="C35" s="11" t="s">
        <v>848</v>
      </c>
      <c r="D35" s="11" t="s">
        <v>782</v>
      </c>
      <c r="E35" s="10" t="s">
        <v>48</v>
      </c>
    </row>
    <row r="36" customFormat="false" ht="15" hidden="false" customHeight="true" outlineLevel="0" collapsed="false">
      <c r="A36" s="10" t="s">
        <v>849</v>
      </c>
      <c r="B36" s="10" t="s">
        <v>93</v>
      </c>
      <c r="C36" s="11" t="s">
        <v>850</v>
      </c>
      <c r="D36" s="11" t="s">
        <v>782</v>
      </c>
      <c r="E36" s="10" t="s">
        <v>70</v>
      </c>
    </row>
    <row r="37" customFormat="false" ht="23.25" hidden="false" customHeight="true" outlineLevel="0" collapsed="false">
      <c r="A37" s="10" t="s">
        <v>851</v>
      </c>
      <c r="B37" s="10" t="s">
        <v>93</v>
      </c>
      <c r="C37" s="11" t="s">
        <v>852</v>
      </c>
      <c r="D37" s="11" t="s">
        <v>791</v>
      </c>
      <c r="E37" s="10" t="s">
        <v>183</v>
      </c>
    </row>
    <row r="38" customFormat="false" ht="15" hidden="false" customHeight="true" outlineLevel="0" collapsed="false">
      <c r="A38" s="10" t="s">
        <v>853</v>
      </c>
      <c r="B38" s="10" t="s">
        <v>93</v>
      </c>
      <c r="C38" s="11" t="s">
        <v>854</v>
      </c>
      <c r="D38" s="11" t="s">
        <v>782</v>
      </c>
      <c r="E38" s="10" t="s">
        <v>48</v>
      </c>
    </row>
    <row r="39" customFormat="false" ht="15" hidden="false" customHeight="true" outlineLevel="0" collapsed="false">
      <c r="A39" s="10" t="s">
        <v>855</v>
      </c>
      <c r="B39" s="10" t="s">
        <v>93</v>
      </c>
      <c r="C39" s="11" t="s">
        <v>856</v>
      </c>
      <c r="D39" s="11" t="s">
        <v>782</v>
      </c>
      <c r="E39" s="10" t="s">
        <v>48</v>
      </c>
    </row>
    <row r="40" customFormat="false" ht="15" hidden="false" customHeight="true" outlineLevel="0" collapsed="false">
      <c r="A40" s="10" t="s">
        <v>857</v>
      </c>
      <c r="B40" s="10" t="s">
        <v>93</v>
      </c>
      <c r="C40" s="11" t="s">
        <v>858</v>
      </c>
      <c r="D40" s="11" t="s">
        <v>782</v>
      </c>
      <c r="E40" s="10" t="s">
        <v>48</v>
      </c>
    </row>
    <row r="41" customFormat="false" ht="23.25" hidden="false" customHeight="true" outlineLevel="0" collapsed="false">
      <c r="A41" s="10" t="s">
        <v>859</v>
      </c>
      <c r="B41" s="10" t="s">
        <v>93</v>
      </c>
      <c r="C41" s="11" t="s">
        <v>860</v>
      </c>
      <c r="D41" s="11" t="s">
        <v>782</v>
      </c>
      <c r="E41" s="10" t="s">
        <v>183</v>
      </c>
    </row>
    <row r="42" customFormat="false" ht="15" hidden="false" customHeight="true" outlineLevel="0" collapsed="false">
      <c r="A42" s="10" t="s">
        <v>861</v>
      </c>
      <c r="B42" s="10" t="s">
        <v>93</v>
      </c>
      <c r="C42" s="11" t="s">
        <v>862</v>
      </c>
      <c r="D42" s="11" t="s">
        <v>782</v>
      </c>
      <c r="E42" s="10" t="s">
        <v>48</v>
      </c>
    </row>
    <row r="43" customFormat="false" ht="15" hidden="false" customHeight="true" outlineLevel="0" collapsed="false">
      <c r="A43" s="10" t="s">
        <v>863</v>
      </c>
      <c r="B43" s="10" t="s">
        <v>93</v>
      </c>
      <c r="C43" s="11" t="s">
        <v>864</v>
      </c>
      <c r="D43" s="11" t="s">
        <v>782</v>
      </c>
      <c r="E43" s="10" t="s">
        <v>48</v>
      </c>
    </row>
    <row r="44" customFormat="false" ht="15" hidden="false" customHeight="true" outlineLevel="0" collapsed="false">
      <c r="A44" s="10" t="s">
        <v>865</v>
      </c>
      <c r="B44" s="10" t="s">
        <v>93</v>
      </c>
      <c r="C44" s="11" t="s">
        <v>866</v>
      </c>
      <c r="D44" s="11" t="s">
        <v>782</v>
      </c>
      <c r="E44" s="10" t="s">
        <v>48</v>
      </c>
    </row>
    <row r="45" customFormat="false" ht="15" hidden="false" customHeight="true" outlineLevel="0" collapsed="false">
      <c r="A45" s="10" t="s">
        <v>867</v>
      </c>
      <c r="B45" s="10" t="s">
        <v>93</v>
      </c>
      <c r="C45" s="11" t="s">
        <v>868</v>
      </c>
      <c r="D45" s="11" t="s">
        <v>782</v>
      </c>
      <c r="E45" s="10" t="s">
        <v>48</v>
      </c>
    </row>
    <row r="46" customFormat="false" ht="15" hidden="false" customHeight="true" outlineLevel="0" collapsed="false">
      <c r="A46" s="10" t="s">
        <v>869</v>
      </c>
      <c r="B46" s="10" t="s">
        <v>93</v>
      </c>
      <c r="C46" s="11" t="s">
        <v>870</v>
      </c>
      <c r="D46" s="11" t="s">
        <v>782</v>
      </c>
      <c r="E46" s="10" t="s">
        <v>183</v>
      </c>
    </row>
    <row r="47" customFormat="false" ht="23.25" hidden="false" customHeight="true" outlineLevel="0" collapsed="false">
      <c r="A47" s="10" t="s">
        <v>871</v>
      </c>
      <c r="B47" s="10" t="s">
        <v>93</v>
      </c>
      <c r="C47" s="11" t="s">
        <v>872</v>
      </c>
      <c r="D47" s="11" t="s">
        <v>873</v>
      </c>
      <c r="E47" s="10" t="s">
        <v>116</v>
      </c>
    </row>
    <row r="48" customFormat="false" ht="15" hidden="false" customHeight="true" outlineLevel="0" collapsed="false">
      <c r="A48" s="10" t="s">
        <v>874</v>
      </c>
      <c r="B48" s="10" t="s">
        <v>118</v>
      </c>
      <c r="C48" s="11" t="s">
        <v>875</v>
      </c>
      <c r="D48" s="11" t="s">
        <v>782</v>
      </c>
      <c r="E48" s="10" t="s">
        <v>183</v>
      </c>
    </row>
    <row r="49" customFormat="false" ht="23.25" hidden="false" customHeight="true" outlineLevel="0" collapsed="false">
      <c r="A49" s="10" t="s">
        <v>876</v>
      </c>
      <c r="B49" s="10" t="s">
        <v>118</v>
      </c>
      <c r="C49" s="11" t="s">
        <v>877</v>
      </c>
      <c r="D49" s="11" t="s">
        <v>791</v>
      </c>
      <c r="E49" s="10" t="s">
        <v>183</v>
      </c>
    </row>
    <row r="50" customFormat="false" ht="15" hidden="false" customHeight="true" outlineLevel="0" collapsed="false">
      <c r="A50" s="10" t="s">
        <v>878</v>
      </c>
      <c r="B50" s="10" t="s">
        <v>118</v>
      </c>
      <c r="C50" s="11" t="s">
        <v>879</v>
      </c>
      <c r="D50" s="11" t="s">
        <v>782</v>
      </c>
      <c r="E50" s="10" t="s">
        <v>48</v>
      </c>
    </row>
    <row r="51" customFormat="false" ht="15" hidden="false" customHeight="true" outlineLevel="0" collapsed="false">
      <c r="A51" s="10" t="s">
        <v>880</v>
      </c>
      <c r="B51" s="10" t="s">
        <v>118</v>
      </c>
      <c r="C51" s="11" t="s">
        <v>881</v>
      </c>
      <c r="D51" s="11" t="s">
        <v>782</v>
      </c>
      <c r="E51" s="10" t="s">
        <v>70</v>
      </c>
    </row>
    <row r="52" customFormat="false" ht="15" hidden="false" customHeight="true" outlineLevel="0" collapsed="false">
      <c r="A52" s="10" t="s">
        <v>882</v>
      </c>
      <c r="B52" s="10" t="s">
        <v>118</v>
      </c>
      <c r="C52" s="11" t="s">
        <v>883</v>
      </c>
      <c r="D52" s="11" t="s">
        <v>782</v>
      </c>
      <c r="E52" s="10" t="s">
        <v>70</v>
      </c>
    </row>
    <row r="53" customFormat="false" ht="15" hidden="false" customHeight="true" outlineLevel="0" collapsed="false">
      <c r="A53" s="10" t="s">
        <v>884</v>
      </c>
      <c r="B53" s="10" t="s">
        <v>118</v>
      </c>
      <c r="C53" s="11" t="s">
        <v>885</v>
      </c>
      <c r="D53" s="11" t="s">
        <v>782</v>
      </c>
      <c r="E53" s="10" t="s">
        <v>183</v>
      </c>
    </row>
    <row r="54" customFormat="false" ht="15" hidden="false" customHeight="true" outlineLevel="0" collapsed="false">
      <c r="A54" s="10" t="s">
        <v>886</v>
      </c>
      <c r="B54" s="10" t="s">
        <v>118</v>
      </c>
      <c r="C54" s="11" t="s">
        <v>887</v>
      </c>
      <c r="D54" s="11" t="s">
        <v>782</v>
      </c>
      <c r="E54" s="10" t="s">
        <v>48</v>
      </c>
    </row>
    <row r="55" customFormat="false" ht="15" hidden="false" customHeight="true" outlineLevel="0" collapsed="false">
      <c r="A55" s="10" t="s">
        <v>888</v>
      </c>
      <c r="B55" s="10" t="s">
        <v>118</v>
      </c>
      <c r="C55" s="11" t="s">
        <v>889</v>
      </c>
      <c r="D55" s="11" t="s">
        <v>782</v>
      </c>
      <c r="E55" s="10" t="s">
        <v>48</v>
      </c>
    </row>
    <row r="56" customFormat="false" ht="15" hidden="false" customHeight="true" outlineLevel="0" collapsed="false">
      <c r="A56" s="10" t="s">
        <v>890</v>
      </c>
      <c r="B56" s="10" t="s">
        <v>118</v>
      </c>
      <c r="C56" s="11" t="s">
        <v>891</v>
      </c>
      <c r="D56" s="11" t="s">
        <v>782</v>
      </c>
      <c r="E56" s="10" t="s">
        <v>48</v>
      </c>
    </row>
    <row r="57" customFormat="false" ht="15" hidden="false" customHeight="true" outlineLevel="0" collapsed="false">
      <c r="A57" s="10" t="s">
        <v>892</v>
      </c>
      <c r="B57" s="10" t="s">
        <v>118</v>
      </c>
      <c r="C57" s="11" t="s">
        <v>893</v>
      </c>
      <c r="D57" s="11" t="s">
        <v>782</v>
      </c>
      <c r="E57" s="10" t="s">
        <v>48</v>
      </c>
    </row>
    <row r="58" customFormat="false" ht="15" hidden="false" customHeight="true" outlineLevel="0" collapsed="false">
      <c r="A58" s="10" t="s">
        <v>894</v>
      </c>
      <c r="B58" s="10" t="s">
        <v>118</v>
      </c>
      <c r="C58" s="11" t="s">
        <v>895</v>
      </c>
      <c r="D58" s="11" t="s">
        <v>782</v>
      </c>
      <c r="E58" s="10" t="s">
        <v>116</v>
      </c>
    </row>
    <row r="59" customFormat="false" ht="15" hidden="false" customHeight="true" outlineLevel="0" collapsed="false">
      <c r="A59" s="10" t="s">
        <v>896</v>
      </c>
      <c r="B59" s="10" t="s">
        <v>137</v>
      </c>
      <c r="C59" s="11" t="s">
        <v>897</v>
      </c>
      <c r="D59" s="11" t="s">
        <v>782</v>
      </c>
      <c r="E59" s="10" t="s">
        <v>183</v>
      </c>
    </row>
    <row r="60" customFormat="false" ht="23.25" hidden="false" customHeight="true" outlineLevel="0" collapsed="false">
      <c r="A60" s="10" t="s">
        <v>898</v>
      </c>
      <c r="B60" s="10" t="s">
        <v>137</v>
      </c>
      <c r="C60" s="11" t="s">
        <v>899</v>
      </c>
      <c r="D60" s="11" t="s">
        <v>791</v>
      </c>
      <c r="E60" s="10" t="s">
        <v>183</v>
      </c>
    </row>
    <row r="61" customFormat="false" ht="15" hidden="false" customHeight="true" outlineLevel="0" collapsed="false">
      <c r="A61" s="10" t="s">
        <v>900</v>
      </c>
      <c r="B61" s="10" t="s">
        <v>137</v>
      </c>
      <c r="C61" s="11" t="s">
        <v>901</v>
      </c>
      <c r="D61" s="11" t="s">
        <v>782</v>
      </c>
      <c r="E61" s="10" t="s">
        <v>48</v>
      </c>
    </row>
    <row r="62" customFormat="false" ht="23.25" hidden="false" customHeight="true" outlineLevel="0" collapsed="false">
      <c r="A62" s="10" t="s">
        <v>902</v>
      </c>
      <c r="B62" s="10" t="s">
        <v>137</v>
      </c>
      <c r="C62" s="11" t="s">
        <v>903</v>
      </c>
      <c r="D62" s="11" t="s">
        <v>782</v>
      </c>
      <c r="E62" s="10" t="s">
        <v>48</v>
      </c>
    </row>
    <row r="63" customFormat="false" ht="15" hidden="false" customHeight="true" outlineLevel="0" collapsed="false">
      <c r="A63" s="10" t="s">
        <v>904</v>
      </c>
      <c r="B63" s="10" t="s">
        <v>137</v>
      </c>
      <c r="C63" s="11" t="s">
        <v>905</v>
      </c>
      <c r="D63" s="11" t="s">
        <v>782</v>
      </c>
      <c r="E63" s="10" t="s">
        <v>48</v>
      </c>
    </row>
    <row r="64" customFormat="false" ht="15" hidden="false" customHeight="true" outlineLevel="0" collapsed="false">
      <c r="A64" s="10" t="s">
        <v>906</v>
      </c>
      <c r="B64" s="10" t="s">
        <v>137</v>
      </c>
      <c r="C64" s="11" t="s">
        <v>907</v>
      </c>
      <c r="D64" s="11" t="s">
        <v>782</v>
      </c>
      <c r="E64" s="10" t="s">
        <v>48</v>
      </c>
    </row>
    <row r="65" customFormat="false" ht="15" hidden="false" customHeight="true" outlineLevel="0" collapsed="false">
      <c r="A65" s="10" t="s">
        <v>908</v>
      </c>
      <c r="B65" s="10" t="s">
        <v>137</v>
      </c>
      <c r="C65" s="11" t="s">
        <v>909</v>
      </c>
      <c r="D65" s="11" t="s">
        <v>782</v>
      </c>
      <c r="E65" s="10" t="s">
        <v>70</v>
      </c>
    </row>
    <row r="66" customFormat="false" ht="15" hidden="false" customHeight="true" outlineLevel="0" collapsed="false">
      <c r="A66" s="10" t="s">
        <v>910</v>
      </c>
      <c r="B66" s="10" t="s">
        <v>137</v>
      </c>
      <c r="C66" s="11" t="s">
        <v>911</v>
      </c>
      <c r="D66" s="11" t="s">
        <v>782</v>
      </c>
      <c r="E66" s="10" t="s">
        <v>48</v>
      </c>
    </row>
    <row r="67" customFormat="false" ht="15" hidden="false" customHeight="true" outlineLevel="0" collapsed="false">
      <c r="A67" s="10" t="s">
        <v>912</v>
      </c>
      <c r="B67" s="10" t="s">
        <v>137</v>
      </c>
      <c r="C67" s="11" t="s">
        <v>913</v>
      </c>
      <c r="D67" s="11" t="s">
        <v>782</v>
      </c>
      <c r="E67" s="10" t="s">
        <v>48</v>
      </c>
    </row>
    <row r="68" customFormat="false" ht="15" hidden="false" customHeight="true" outlineLevel="0" collapsed="false">
      <c r="A68" s="10" t="s">
        <v>914</v>
      </c>
      <c r="B68" s="10" t="s">
        <v>142</v>
      </c>
      <c r="C68" s="11" t="s">
        <v>915</v>
      </c>
      <c r="D68" s="11" t="s">
        <v>782</v>
      </c>
      <c r="E68" s="10" t="s">
        <v>183</v>
      </c>
    </row>
    <row r="69" customFormat="false" ht="15" hidden="false" customHeight="true" outlineLevel="0" collapsed="false">
      <c r="A69" s="10" t="s">
        <v>916</v>
      </c>
      <c r="B69" s="10" t="s">
        <v>142</v>
      </c>
      <c r="C69" s="11" t="s">
        <v>917</v>
      </c>
      <c r="D69" s="11" t="s">
        <v>782</v>
      </c>
      <c r="E69" s="10" t="s">
        <v>48</v>
      </c>
    </row>
    <row r="70" customFormat="false" ht="15" hidden="false" customHeight="true" outlineLevel="0" collapsed="false">
      <c r="A70" s="10" t="s">
        <v>918</v>
      </c>
      <c r="B70" s="10" t="s">
        <v>142</v>
      </c>
      <c r="C70" s="11" t="s">
        <v>919</v>
      </c>
      <c r="D70" s="11" t="s">
        <v>782</v>
      </c>
      <c r="E70" s="10" t="s">
        <v>48</v>
      </c>
    </row>
    <row r="71" customFormat="false" ht="15" hidden="false" customHeight="true" outlineLevel="0" collapsed="false">
      <c r="A71" s="10" t="s">
        <v>920</v>
      </c>
      <c r="B71" s="10" t="s">
        <v>142</v>
      </c>
      <c r="C71" s="11" t="s">
        <v>893</v>
      </c>
      <c r="D71" s="11" t="s">
        <v>782</v>
      </c>
      <c r="E71" s="10" t="s">
        <v>48</v>
      </c>
    </row>
    <row r="72" customFormat="false" ht="15" hidden="false" customHeight="true" outlineLevel="0" collapsed="false">
      <c r="A72" s="10" t="s">
        <v>921</v>
      </c>
      <c r="B72" s="10" t="s">
        <v>142</v>
      </c>
      <c r="C72" s="11" t="s">
        <v>922</v>
      </c>
      <c r="D72" s="11" t="s">
        <v>782</v>
      </c>
      <c r="E72" s="10" t="s">
        <v>70</v>
      </c>
    </row>
    <row r="73" customFormat="false" ht="23.25" hidden="false" customHeight="true" outlineLevel="0" collapsed="false">
      <c r="A73" s="10" t="s">
        <v>923</v>
      </c>
      <c r="B73" s="10" t="s">
        <v>142</v>
      </c>
      <c r="C73" s="11" t="s">
        <v>924</v>
      </c>
      <c r="D73" s="11" t="s">
        <v>782</v>
      </c>
      <c r="E73" s="10" t="s">
        <v>183</v>
      </c>
    </row>
    <row r="74" customFormat="false" ht="15" hidden="false" customHeight="true" outlineLevel="0" collapsed="false">
      <c r="A74" s="10" t="s">
        <v>925</v>
      </c>
      <c r="B74" s="10" t="s">
        <v>926</v>
      </c>
      <c r="C74" s="11" t="s">
        <v>927</v>
      </c>
      <c r="D74" s="11" t="s">
        <v>782</v>
      </c>
      <c r="E74" s="10" t="s">
        <v>48</v>
      </c>
    </row>
    <row r="75" customFormat="false" ht="15" hidden="false" customHeight="true" outlineLevel="0" collapsed="false">
      <c r="A75" s="10" t="s">
        <v>928</v>
      </c>
      <c r="B75" s="10" t="s">
        <v>151</v>
      </c>
      <c r="C75" s="11" t="s">
        <v>929</v>
      </c>
      <c r="D75" s="11" t="s">
        <v>782</v>
      </c>
      <c r="E75" s="10" t="s">
        <v>183</v>
      </c>
    </row>
    <row r="76" customFormat="false" ht="15" hidden="false" customHeight="true" outlineLevel="0" collapsed="false">
      <c r="A76" s="10" t="s">
        <v>930</v>
      </c>
      <c r="B76" s="10" t="s">
        <v>151</v>
      </c>
      <c r="C76" s="11" t="s">
        <v>931</v>
      </c>
      <c r="D76" s="11" t="s">
        <v>782</v>
      </c>
      <c r="E76" s="10" t="s">
        <v>48</v>
      </c>
    </row>
    <row r="77" customFormat="false" ht="15" hidden="false" customHeight="true" outlineLevel="0" collapsed="false">
      <c r="A77" s="10" t="s">
        <v>932</v>
      </c>
      <c r="B77" s="10" t="s">
        <v>151</v>
      </c>
      <c r="C77" s="11" t="s">
        <v>933</v>
      </c>
      <c r="D77" s="11" t="s">
        <v>782</v>
      </c>
      <c r="E77" s="10" t="s">
        <v>48</v>
      </c>
    </row>
    <row r="78" customFormat="false" ht="15" hidden="false" customHeight="true" outlineLevel="0" collapsed="false">
      <c r="A78" s="10" t="s">
        <v>934</v>
      </c>
      <c r="B78" s="10" t="s">
        <v>151</v>
      </c>
      <c r="C78" s="11" t="s">
        <v>935</v>
      </c>
      <c r="D78" s="11" t="s">
        <v>782</v>
      </c>
      <c r="E78" s="10" t="s">
        <v>48</v>
      </c>
    </row>
    <row r="79" customFormat="false" ht="15" hidden="false" customHeight="true" outlineLevel="0" collapsed="false">
      <c r="A79" s="10" t="s">
        <v>936</v>
      </c>
      <c r="B79" s="10" t="s">
        <v>151</v>
      </c>
      <c r="C79" s="11" t="s">
        <v>937</v>
      </c>
      <c r="D79" s="11" t="s">
        <v>782</v>
      </c>
      <c r="E79" s="10" t="s">
        <v>48</v>
      </c>
    </row>
    <row r="80" customFormat="false" ht="15" hidden="false" customHeight="true" outlineLevel="0" collapsed="false">
      <c r="A80" s="10" t="s">
        <v>938</v>
      </c>
      <c r="B80" s="10" t="s">
        <v>151</v>
      </c>
      <c r="C80" s="11" t="s">
        <v>939</v>
      </c>
      <c r="D80" s="11" t="s">
        <v>782</v>
      </c>
      <c r="E80" s="10" t="s">
        <v>48</v>
      </c>
    </row>
    <row r="81" customFormat="false" ht="15" hidden="false" customHeight="true" outlineLevel="0" collapsed="false">
      <c r="A81" s="10" t="s">
        <v>940</v>
      </c>
      <c r="B81" s="10" t="s">
        <v>151</v>
      </c>
      <c r="C81" s="11" t="s">
        <v>941</v>
      </c>
      <c r="D81" s="11" t="s">
        <v>782</v>
      </c>
      <c r="E81" s="10" t="s">
        <v>70</v>
      </c>
    </row>
    <row r="82" customFormat="false" ht="15" hidden="false" customHeight="true" outlineLevel="0" collapsed="false">
      <c r="A82" s="10" t="s">
        <v>942</v>
      </c>
      <c r="B82" s="10" t="s">
        <v>172</v>
      </c>
      <c r="C82" s="11" t="s">
        <v>943</v>
      </c>
      <c r="D82" s="11" t="s">
        <v>782</v>
      </c>
      <c r="E82" s="10" t="s">
        <v>48</v>
      </c>
    </row>
    <row r="83" customFormat="false" ht="15" hidden="false" customHeight="true" outlineLevel="0" collapsed="false">
      <c r="A83" s="10" t="s">
        <v>944</v>
      </c>
      <c r="B83" s="10" t="s">
        <v>172</v>
      </c>
      <c r="C83" s="11" t="s">
        <v>945</v>
      </c>
      <c r="D83" s="11" t="s">
        <v>782</v>
      </c>
      <c r="E83" s="10" t="s">
        <v>183</v>
      </c>
    </row>
    <row r="84" customFormat="false" ht="15" hidden="false" customHeight="true" outlineLevel="0" collapsed="false">
      <c r="A84" s="10" t="s">
        <v>946</v>
      </c>
      <c r="B84" s="10" t="s">
        <v>172</v>
      </c>
      <c r="C84" s="11" t="s">
        <v>947</v>
      </c>
      <c r="D84" s="11" t="s">
        <v>782</v>
      </c>
      <c r="E84" s="10" t="s">
        <v>48</v>
      </c>
    </row>
    <row r="85" customFormat="false" ht="15" hidden="false" customHeight="true" outlineLevel="0" collapsed="false">
      <c r="A85" s="10" t="s">
        <v>948</v>
      </c>
      <c r="B85" s="10" t="s">
        <v>172</v>
      </c>
      <c r="C85" s="11" t="s">
        <v>949</v>
      </c>
      <c r="D85" s="11" t="s">
        <v>782</v>
      </c>
      <c r="E85" s="10" t="s">
        <v>48</v>
      </c>
    </row>
    <row r="86" customFormat="false" ht="15" hidden="false" customHeight="true" outlineLevel="0" collapsed="false">
      <c r="A86" s="10" t="s">
        <v>950</v>
      </c>
      <c r="B86" s="10" t="s">
        <v>172</v>
      </c>
      <c r="C86" s="11" t="s">
        <v>951</v>
      </c>
      <c r="D86" s="11" t="s">
        <v>782</v>
      </c>
      <c r="E86" s="10" t="s">
        <v>48</v>
      </c>
    </row>
    <row r="87" customFormat="false" ht="15" hidden="false" customHeight="true" outlineLevel="0" collapsed="false">
      <c r="A87" s="10" t="s">
        <v>952</v>
      </c>
      <c r="B87" s="10" t="s">
        <v>172</v>
      </c>
      <c r="C87" s="11" t="s">
        <v>953</v>
      </c>
      <c r="D87" s="11" t="s">
        <v>782</v>
      </c>
      <c r="E87" s="10" t="s">
        <v>48</v>
      </c>
    </row>
    <row r="88" customFormat="false" ht="15" hidden="false" customHeight="true" outlineLevel="0" collapsed="false">
      <c r="A88" s="10" t="s">
        <v>954</v>
      </c>
      <c r="B88" s="10" t="s">
        <v>172</v>
      </c>
      <c r="C88" s="11" t="s">
        <v>955</v>
      </c>
      <c r="D88" s="11" t="s">
        <v>782</v>
      </c>
      <c r="E88" s="10" t="s">
        <v>48</v>
      </c>
    </row>
    <row r="89" customFormat="false" ht="23.25" hidden="false" customHeight="true" outlineLevel="0" collapsed="false">
      <c r="A89" s="10" t="s">
        <v>956</v>
      </c>
      <c r="B89" s="10" t="s">
        <v>196</v>
      </c>
      <c r="C89" s="11" t="s">
        <v>957</v>
      </c>
      <c r="D89" s="11" t="s">
        <v>958</v>
      </c>
      <c r="E89" s="10" t="s">
        <v>116</v>
      </c>
    </row>
    <row r="90" customFormat="false" ht="15" hidden="false" customHeight="true" outlineLevel="0" collapsed="false">
      <c r="A90" s="10" t="s">
        <v>959</v>
      </c>
      <c r="B90" s="10" t="s">
        <v>207</v>
      </c>
      <c r="C90" s="11" t="s">
        <v>960</v>
      </c>
      <c r="D90" s="11" t="s">
        <v>782</v>
      </c>
      <c r="E90" s="10" t="s">
        <v>48</v>
      </c>
    </row>
    <row r="91" customFormat="false" ht="15" hidden="false" customHeight="true" outlineLevel="0" collapsed="false">
      <c r="A91" s="10" t="s">
        <v>961</v>
      </c>
      <c r="B91" s="10" t="s">
        <v>207</v>
      </c>
      <c r="C91" s="11" t="s">
        <v>962</v>
      </c>
      <c r="D91" s="11" t="s">
        <v>782</v>
      </c>
      <c r="E91" s="10" t="s">
        <v>48</v>
      </c>
    </row>
    <row r="92" customFormat="false" ht="15" hidden="false" customHeight="true" outlineLevel="0" collapsed="false">
      <c r="A92" s="10" t="s">
        <v>963</v>
      </c>
      <c r="B92" s="10" t="s">
        <v>231</v>
      </c>
      <c r="C92" s="11" t="s">
        <v>964</v>
      </c>
      <c r="D92" s="11" t="s">
        <v>782</v>
      </c>
      <c r="E92" s="10" t="s">
        <v>48</v>
      </c>
    </row>
    <row r="93" customFormat="false" ht="15" hidden="false" customHeight="true" outlineLevel="0" collapsed="false">
      <c r="A93" s="10" t="s">
        <v>965</v>
      </c>
      <c r="B93" s="10" t="s">
        <v>231</v>
      </c>
      <c r="C93" s="11" t="s">
        <v>966</v>
      </c>
      <c r="D93" s="11" t="s">
        <v>782</v>
      </c>
      <c r="E93" s="10" t="s">
        <v>48</v>
      </c>
    </row>
    <row r="94" customFormat="false" ht="23.25" hidden="false" customHeight="true" outlineLevel="0" collapsed="false">
      <c r="A94" s="10" t="s">
        <v>967</v>
      </c>
      <c r="B94" s="10" t="s">
        <v>231</v>
      </c>
      <c r="C94" s="11" t="s">
        <v>968</v>
      </c>
      <c r="D94" s="11" t="s">
        <v>782</v>
      </c>
      <c r="E94" s="10" t="s">
        <v>70</v>
      </c>
    </row>
    <row r="95" customFormat="false" ht="15" hidden="false" customHeight="true" outlineLevel="0" collapsed="false">
      <c r="A95" s="10" t="s">
        <v>969</v>
      </c>
      <c r="B95" s="10" t="s">
        <v>231</v>
      </c>
      <c r="C95" s="11" t="s">
        <v>970</v>
      </c>
      <c r="D95" s="11" t="s">
        <v>782</v>
      </c>
      <c r="E95" s="10" t="s">
        <v>48</v>
      </c>
    </row>
    <row r="96" customFormat="false" ht="15" hidden="false" customHeight="true" outlineLevel="0" collapsed="false">
      <c r="A96" s="10" t="s">
        <v>971</v>
      </c>
      <c r="B96" s="10" t="s">
        <v>237</v>
      </c>
      <c r="C96" s="11" t="s">
        <v>972</v>
      </c>
      <c r="D96" s="11" t="s">
        <v>782</v>
      </c>
      <c r="E96" s="10" t="s">
        <v>183</v>
      </c>
    </row>
    <row r="97" customFormat="false" ht="15" hidden="false" customHeight="true" outlineLevel="0" collapsed="false">
      <c r="A97" s="10" t="s">
        <v>973</v>
      </c>
      <c r="B97" s="10" t="s">
        <v>237</v>
      </c>
      <c r="C97" s="11" t="s">
        <v>974</v>
      </c>
      <c r="D97" s="11" t="s">
        <v>782</v>
      </c>
      <c r="E97" s="10" t="s">
        <v>48</v>
      </c>
    </row>
    <row r="98" customFormat="false" ht="23.25" hidden="false" customHeight="true" outlineLevel="0" collapsed="false">
      <c r="A98" s="10" t="s">
        <v>975</v>
      </c>
      <c r="B98" s="10" t="s">
        <v>237</v>
      </c>
      <c r="C98" s="11" t="s">
        <v>976</v>
      </c>
      <c r="D98" s="11" t="s">
        <v>782</v>
      </c>
      <c r="E98" s="10" t="s">
        <v>183</v>
      </c>
    </row>
    <row r="99" customFormat="false" ht="15" hidden="false" customHeight="true" outlineLevel="0" collapsed="false">
      <c r="A99" s="10" t="s">
        <v>977</v>
      </c>
      <c r="B99" s="10" t="s">
        <v>237</v>
      </c>
      <c r="C99" s="11" t="s">
        <v>978</v>
      </c>
      <c r="D99" s="11" t="s">
        <v>782</v>
      </c>
      <c r="E99" s="10" t="s">
        <v>183</v>
      </c>
    </row>
    <row r="100" customFormat="false" ht="15" hidden="false" customHeight="true" outlineLevel="0" collapsed="false">
      <c r="A100" s="10" t="s">
        <v>979</v>
      </c>
      <c r="B100" s="10" t="s">
        <v>237</v>
      </c>
      <c r="C100" s="11" t="s">
        <v>980</v>
      </c>
      <c r="D100" s="11" t="s">
        <v>782</v>
      </c>
      <c r="E100" s="10" t="s">
        <v>48</v>
      </c>
    </row>
    <row r="101" customFormat="false" ht="15" hidden="false" customHeight="true" outlineLevel="0" collapsed="false">
      <c r="A101" s="10" t="s">
        <v>981</v>
      </c>
      <c r="B101" s="10" t="s">
        <v>237</v>
      </c>
      <c r="C101" s="11" t="s">
        <v>982</v>
      </c>
      <c r="D101" s="11" t="s">
        <v>782</v>
      </c>
      <c r="E101" s="10" t="s">
        <v>48</v>
      </c>
    </row>
    <row r="102" customFormat="false" ht="15" hidden="false" customHeight="true" outlineLevel="0" collapsed="false">
      <c r="A102" s="10" t="s">
        <v>983</v>
      </c>
      <c r="B102" s="10" t="s">
        <v>237</v>
      </c>
      <c r="C102" s="11" t="s">
        <v>984</v>
      </c>
      <c r="D102" s="11" t="s">
        <v>782</v>
      </c>
      <c r="E102" s="10" t="s">
        <v>70</v>
      </c>
    </row>
    <row r="103" customFormat="false" ht="15" hidden="false" customHeight="true" outlineLevel="0" collapsed="false">
      <c r="A103" s="10" t="s">
        <v>985</v>
      </c>
      <c r="B103" s="10" t="s">
        <v>237</v>
      </c>
      <c r="C103" s="11" t="s">
        <v>986</v>
      </c>
      <c r="D103" s="11" t="s">
        <v>782</v>
      </c>
      <c r="E103" s="10" t="s">
        <v>48</v>
      </c>
    </row>
    <row r="104" customFormat="false" ht="15" hidden="false" customHeight="true" outlineLevel="0" collapsed="false">
      <c r="A104" s="10" t="s">
        <v>987</v>
      </c>
      <c r="B104" s="10" t="s">
        <v>237</v>
      </c>
      <c r="C104" s="11" t="s">
        <v>988</v>
      </c>
      <c r="D104" s="11" t="s">
        <v>782</v>
      </c>
      <c r="E104" s="10" t="s">
        <v>48</v>
      </c>
    </row>
    <row r="105" customFormat="false" ht="15" hidden="false" customHeight="true" outlineLevel="0" collapsed="false">
      <c r="A105" s="10" t="s">
        <v>989</v>
      </c>
      <c r="B105" s="10" t="s">
        <v>237</v>
      </c>
      <c r="C105" s="11" t="s">
        <v>990</v>
      </c>
      <c r="D105" s="11" t="s">
        <v>782</v>
      </c>
      <c r="E105" s="10" t="s">
        <v>70</v>
      </c>
    </row>
    <row r="106" customFormat="false" ht="23.25" hidden="false" customHeight="true" outlineLevel="0" collapsed="false">
      <c r="A106" s="10" t="s">
        <v>991</v>
      </c>
      <c r="B106" s="10" t="s">
        <v>992</v>
      </c>
      <c r="C106" s="11" t="s">
        <v>993</v>
      </c>
      <c r="D106" s="11" t="s">
        <v>791</v>
      </c>
      <c r="E106" s="10" t="s">
        <v>183</v>
      </c>
    </row>
    <row r="107" customFormat="false" ht="15" hidden="false" customHeight="true" outlineLevel="0" collapsed="false">
      <c r="A107" s="10" t="s">
        <v>994</v>
      </c>
      <c r="B107" s="10" t="s">
        <v>992</v>
      </c>
      <c r="C107" s="11" t="s">
        <v>995</v>
      </c>
      <c r="D107" s="11" t="s">
        <v>782</v>
      </c>
      <c r="E107" s="10" t="s">
        <v>183</v>
      </c>
    </row>
    <row r="108" customFormat="false" ht="15" hidden="false" customHeight="true" outlineLevel="0" collapsed="false">
      <c r="A108" s="10" t="s">
        <v>996</v>
      </c>
      <c r="B108" s="10" t="s">
        <v>992</v>
      </c>
      <c r="C108" s="11" t="s">
        <v>997</v>
      </c>
      <c r="D108" s="11" t="s">
        <v>782</v>
      </c>
      <c r="E108" s="10" t="s">
        <v>48</v>
      </c>
    </row>
    <row r="109" customFormat="false" ht="15" hidden="false" customHeight="true" outlineLevel="0" collapsed="false">
      <c r="A109" s="10" t="s">
        <v>998</v>
      </c>
      <c r="B109" s="10" t="s">
        <v>992</v>
      </c>
      <c r="C109" s="11" t="s">
        <v>999</v>
      </c>
      <c r="D109" s="11" t="s">
        <v>782</v>
      </c>
      <c r="E109" s="10" t="s">
        <v>48</v>
      </c>
    </row>
    <row r="110" customFormat="false" ht="15" hidden="false" customHeight="true" outlineLevel="0" collapsed="false">
      <c r="A110" s="10" t="s">
        <v>1000</v>
      </c>
      <c r="B110" s="10" t="s">
        <v>992</v>
      </c>
      <c r="C110" s="11" t="s">
        <v>1001</v>
      </c>
      <c r="D110" s="11" t="s">
        <v>782</v>
      </c>
      <c r="E110" s="10" t="s">
        <v>70</v>
      </c>
    </row>
    <row r="111" customFormat="false" ht="15" hidden="false" customHeight="true" outlineLevel="0" collapsed="false">
      <c r="A111" s="10" t="s">
        <v>1002</v>
      </c>
      <c r="B111" s="10" t="s">
        <v>246</v>
      </c>
      <c r="C111" s="11" t="s">
        <v>1003</v>
      </c>
      <c r="D111" s="11" t="s">
        <v>782</v>
      </c>
      <c r="E111" s="10" t="s">
        <v>48</v>
      </c>
    </row>
    <row r="112" customFormat="false" ht="23.25" hidden="false" customHeight="true" outlineLevel="0" collapsed="false">
      <c r="A112" s="10" t="s">
        <v>1004</v>
      </c>
      <c r="B112" s="10" t="s">
        <v>246</v>
      </c>
      <c r="C112" s="11" t="s">
        <v>1005</v>
      </c>
      <c r="D112" s="11" t="s">
        <v>791</v>
      </c>
      <c r="E112" s="10" t="s">
        <v>183</v>
      </c>
    </row>
    <row r="113" customFormat="false" ht="15" hidden="false" customHeight="true" outlineLevel="0" collapsed="false">
      <c r="A113" s="10" t="s">
        <v>1006</v>
      </c>
      <c r="B113" s="10" t="s">
        <v>246</v>
      </c>
      <c r="C113" s="11" t="s">
        <v>1007</v>
      </c>
      <c r="D113" s="11" t="s">
        <v>782</v>
      </c>
      <c r="E113" s="10" t="s">
        <v>183</v>
      </c>
    </row>
    <row r="114" customFormat="false" ht="15" hidden="false" customHeight="true" outlineLevel="0" collapsed="false">
      <c r="A114" s="10" t="s">
        <v>1008</v>
      </c>
      <c r="B114" s="10" t="s">
        <v>246</v>
      </c>
      <c r="C114" s="11" t="s">
        <v>1009</v>
      </c>
      <c r="D114" s="11" t="s">
        <v>782</v>
      </c>
      <c r="E114" s="10" t="s">
        <v>48</v>
      </c>
    </row>
    <row r="115" customFormat="false" ht="15" hidden="false" customHeight="true" outlineLevel="0" collapsed="false">
      <c r="A115" s="10" t="s">
        <v>1010</v>
      </c>
      <c r="B115" s="10" t="s">
        <v>246</v>
      </c>
      <c r="C115" s="11" t="s">
        <v>1011</v>
      </c>
      <c r="D115" s="11" t="s">
        <v>782</v>
      </c>
      <c r="E115" s="10" t="s">
        <v>48</v>
      </c>
    </row>
    <row r="116" customFormat="false" ht="15" hidden="false" customHeight="true" outlineLevel="0" collapsed="false">
      <c r="A116" s="10" t="s">
        <v>1012</v>
      </c>
      <c r="B116" s="10" t="s">
        <v>246</v>
      </c>
      <c r="C116" s="11" t="s">
        <v>1013</v>
      </c>
      <c r="D116" s="11" t="s">
        <v>782</v>
      </c>
      <c r="E116" s="10" t="s">
        <v>48</v>
      </c>
    </row>
    <row r="117" customFormat="false" ht="15" hidden="false" customHeight="true" outlineLevel="0" collapsed="false">
      <c r="A117" s="10" t="s">
        <v>1014</v>
      </c>
      <c r="B117" s="10" t="s">
        <v>246</v>
      </c>
      <c r="C117" s="11" t="s">
        <v>1013</v>
      </c>
      <c r="D117" s="11" t="s">
        <v>782</v>
      </c>
      <c r="E117" s="10" t="s">
        <v>48</v>
      </c>
    </row>
    <row r="118" customFormat="false" ht="23.25" hidden="false" customHeight="true" outlineLevel="0" collapsed="false">
      <c r="A118" s="10" t="s">
        <v>1015</v>
      </c>
      <c r="B118" s="10" t="s">
        <v>246</v>
      </c>
      <c r="C118" s="11" t="s">
        <v>1016</v>
      </c>
      <c r="D118" s="11" t="s">
        <v>782</v>
      </c>
      <c r="E118" s="10" t="s">
        <v>48</v>
      </c>
    </row>
    <row r="119" customFormat="false" ht="15" hidden="false" customHeight="true" outlineLevel="0" collapsed="false">
      <c r="A119" s="10" t="s">
        <v>1017</v>
      </c>
      <c r="B119" s="10" t="s">
        <v>246</v>
      </c>
      <c r="C119" s="11" t="s">
        <v>1018</v>
      </c>
      <c r="D119" s="11" t="s">
        <v>782</v>
      </c>
      <c r="E119" s="10" t="s">
        <v>48</v>
      </c>
    </row>
    <row r="120" customFormat="false" ht="15" hidden="false" customHeight="true" outlineLevel="0" collapsed="false">
      <c r="A120" s="10" t="s">
        <v>1019</v>
      </c>
      <c r="B120" s="10" t="s">
        <v>246</v>
      </c>
      <c r="C120" s="11" t="s">
        <v>1020</v>
      </c>
      <c r="D120" s="11" t="s">
        <v>782</v>
      </c>
      <c r="E120" s="10" t="s">
        <v>48</v>
      </c>
    </row>
    <row r="121" customFormat="false" ht="15" hidden="false" customHeight="true" outlineLevel="0" collapsed="false">
      <c r="A121" s="10" t="s">
        <v>1021</v>
      </c>
      <c r="B121" s="10" t="s">
        <v>246</v>
      </c>
      <c r="C121" s="11" t="s">
        <v>1022</v>
      </c>
      <c r="D121" s="11" t="s">
        <v>782</v>
      </c>
      <c r="E121" s="10" t="s">
        <v>48</v>
      </c>
    </row>
    <row r="122" customFormat="false" ht="15" hidden="false" customHeight="true" outlineLevel="0" collapsed="false">
      <c r="A122" s="10" t="s">
        <v>1023</v>
      </c>
      <c r="B122" s="10" t="s">
        <v>246</v>
      </c>
      <c r="C122" s="11" t="s">
        <v>1024</v>
      </c>
      <c r="D122" s="11" t="s">
        <v>782</v>
      </c>
      <c r="E122" s="10" t="s">
        <v>48</v>
      </c>
    </row>
    <row r="123" customFormat="false" ht="15" hidden="false" customHeight="true" outlineLevel="0" collapsed="false">
      <c r="A123" s="10" t="s">
        <v>1025</v>
      </c>
      <c r="B123" s="10" t="s">
        <v>267</v>
      </c>
      <c r="C123" s="11" t="s">
        <v>1026</v>
      </c>
      <c r="D123" s="11" t="s">
        <v>782</v>
      </c>
      <c r="E123" s="10" t="s">
        <v>48</v>
      </c>
    </row>
    <row r="124" customFormat="false" ht="23.25" hidden="false" customHeight="true" outlineLevel="0" collapsed="false">
      <c r="A124" s="10" t="s">
        <v>1027</v>
      </c>
      <c r="B124" s="10" t="s">
        <v>267</v>
      </c>
      <c r="C124" s="11" t="s">
        <v>1028</v>
      </c>
      <c r="D124" s="11" t="s">
        <v>791</v>
      </c>
      <c r="E124" s="10" t="s">
        <v>183</v>
      </c>
    </row>
    <row r="125" customFormat="false" ht="15" hidden="false" customHeight="true" outlineLevel="0" collapsed="false">
      <c r="A125" s="10" t="s">
        <v>1029</v>
      </c>
      <c r="B125" s="10" t="s">
        <v>267</v>
      </c>
      <c r="C125" s="11" t="s">
        <v>1030</v>
      </c>
      <c r="D125" s="11" t="s">
        <v>782</v>
      </c>
      <c r="E125" s="10" t="s">
        <v>48</v>
      </c>
    </row>
    <row r="126" customFormat="false" ht="15" hidden="false" customHeight="true" outlineLevel="0" collapsed="false">
      <c r="A126" s="10" t="s">
        <v>1031</v>
      </c>
      <c r="B126" s="10" t="s">
        <v>267</v>
      </c>
      <c r="C126" s="11" t="s">
        <v>1032</v>
      </c>
      <c r="D126" s="11" t="s">
        <v>782</v>
      </c>
      <c r="E126" s="10" t="s">
        <v>48</v>
      </c>
    </row>
    <row r="127" customFormat="false" ht="15" hidden="false" customHeight="true" outlineLevel="0" collapsed="false">
      <c r="A127" s="10" t="s">
        <v>1033</v>
      </c>
      <c r="B127" s="10" t="s">
        <v>267</v>
      </c>
      <c r="C127" s="11" t="s">
        <v>1034</v>
      </c>
      <c r="D127" s="11" t="s">
        <v>782</v>
      </c>
      <c r="E127" s="10" t="s">
        <v>48</v>
      </c>
    </row>
    <row r="128" customFormat="false" ht="15" hidden="false" customHeight="true" outlineLevel="0" collapsed="false">
      <c r="A128" s="10" t="s">
        <v>1035</v>
      </c>
      <c r="B128" s="10" t="s">
        <v>267</v>
      </c>
      <c r="C128" s="11" t="s">
        <v>1036</v>
      </c>
      <c r="D128" s="11" t="s">
        <v>782</v>
      </c>
      <c r="E128" s="10" t="s">
        <v>48</v>
      </c>
    </row>
    <row r="129" customFormat="false" ht="15" hidden="false" customHeight="true" outlineLevel="0" collapsed="false">
      <c r="A129" s="10" t="s">
        <v>1037</v>
      </c>
      <c r="B129" s="10" t="s">
        <v>267</v>
      </c>
      <c r="C129" s="11" t="s">
        <v>1038</v>
      </c>
      <c r="D129" s="11" t="s">
        <v>782</v>
      </c>
      <c r="E129" s="10" t="s">
        <v>48</v>
      </c>
    </row>
    <row r="130" customFormat="false" ht="15" hidden="false" customHeight="true" outlineLevel="0" collapsed="false">
      <c r="A130" s="10" t="s">
        <v>1039</v>
      </c>
      <c r="B130" s="10" t="s">
        <v>267</v>
      </c>
      <c r="C130" s="11" t="s">
        <v>1040</v>
      </c>
      <c r="D130" s="11" t="s">
        <v>782</v>
      </c>
      <c r="E130" s="10" t="s">
        <v>48</v>
      </c>
    </row>
    <row r="131" customFormat="false" ht="15" hidden="false" customHeight="true" outlineLevel="0" collapsed="false">
      <c r="A131" s="10" t="s">
        <v>1041</v>
      </c>
      <c r="B131" s="10" t="s">
        <v>282</v>
      </c>
      <c r="C131" s="11" t="s">
        <v>1042</v>
      </c>
      <c r="D131" s="11" t="s">
        <v>782</v>
      </c>
      <c r="E131" s="10" t="s">
        <v>183</v>
      </c>
    </row>
    <row r="132" customFormat="false" ht="15" hidden="false" customHeight="true" outlineLevel="0" collapsed="false">
      <c r="A132" s="10" t="s">
        <v>1043</v>
      </c>
      <c r="B132" s="10" t="s">
        <v>282</v>
      </c>
      <c r="C132" s="11" t="s">
        <v>1044</v>
      </c>
      <c r="D132" s="11" t="s">
        <v>782</v>
      </c>
      <c r="E132" s="10" t="s">
        <v>183</v>
      </c>
    </row>
    <row r="133" customFormat="false" ht="23.25" hidden="false" customHeight="true" outlineLevel="0" collapsed="false">
      <c r="A133" s="10" t="s">
        <v>1045</v>
      </c>
      <c r="B133" s="10" t="s">
        <v>282</v>
      </c>
      <c r="C133" s="11" t="s">
        <v>1046</v>
      </c>
      <c r="D133" s="11" t="s">
        <v>791</v>
      </c>
      <c r="E133" s="10" t="s">
        <v>183</v>
      </c>
    </row>
    <row r="134" customFormat="false" ht="15" hidden="false" customHeight="true" outlineLevel="0" collapsed="false">
      <c r="A134" s="10" t="s">
        <v>1047</v>
      </c>
      <c r="B134" s="10" t="s">
        <v>282</v>
      </c>
      <c r="C134" s="11" t="s">
        <v>1048</v>
      </c>
      <c r="D134" s="11" t="s">
        <v>782</v>
      </c>
      <c r="E134" s="10" t="s">
        <v>183</v>
      </c>
    </row>
    <row r="135" customFormat="false" ht="23.25" hidden="false" customHeight="true" outlineLevel="0" collapsed="false">
      <c r="A135" s="10" t="s">
        <v>1049</v>
      </c>
      <c r="B135" s="10" t="s">
        <v>282</v>
      </c>
      <c r="C135" s="11" t="s">
        <v>1050</v>
      </c>
      <c r="D135" s="11" t="s">
        <v>791</v>
      </c>
      <c r="E135" s="10" t="s">
        <v>183</v>
      </c>
    </row>
    <row r="136" customFormat="false" ht="15" hidden="false" customHeight="true" outlineLevel="0" collapsed="false">
      <c r="A136" s="10" t="s">
        <v>1051</v>
      </c>
      <c r="B136" s="10" t="s">
        <v>282</v>
      </c>
      <c r="C136" s="11" t="s">
        <v>1052</v>
      </c>
      <c r="D136" s="11" t="s">
        <v>782</v>
      </c>
      <c r="E136" s="10" t="s">
        <v>183</v>
      </c>
    </row>
    <row r="137" customFormat="false" ht="15" hidden="false" customHeight="true" outlineLevel="0" collapsed="false">
      <c r="A137" s="10" t="s">
        <v>1053</v>
      </c>
      <c r="B137" s="10" t="s">
        <v>282</v>
      </c>
      <c r="C137" s="11" t="s">
        <v>1054</v>
      </c>
      <c r="D137" s="11" t="s">
        <v>782</v>
      </c>
      <c r="E137" s="10" t="s">
        <v>48</v>
      </c>
    </row>
    <row r="138" customFormat="false" ht="15" hidden="false" customHeight="true" outlineLevel="0" collapsed="false">
      <c r="A138" s="10" t="s">
        <v>1055</v>
      </c>
      <c r="B138" s="10" t="s">
        <v>282</v>
      </c>
      <c r="C138" s="11" t="s">
        <v>1056</v>
      </c>
      <c r="D138" s="11" t="s">
        <v>782</v>
      </c>
      <c r="E138" s="10" t="s">
        <v>48</v>
      </c>
    </row>
    <row r="139" customFormat="false" ht="15" hidden="false" customHeight="true" outlineLevel="0" collapsed="false">
      <c r="A139" s="10" t="s">
        <v>1057</v>
      </c>
      <c r="B139" s="10" t="s">
        <v>282</v>
      </c>
      <c r="C139" s="11" t="s">
        <v>1058</v>
      </c>
      <c r="D139" s="11" t="s">
        <v>782</v>
      </c>
      <c r="E139" s="10" t="s">
        <v>48</v>
      </c>
    </row>
    <row r="140" customFormat="false" ht="15" hidden="false" customHeight="true" outlineLevel="0" collapsed="false">
      <c r="A140" s="10" t="s">
        <v>1059</v>
      </c>
      <c r="B140" s="10" t="s">
        <v>300</v>
      </c>
      <c r="C140" s="11" t="s">
        <v>1060</v>
      </c>
      <c r="D140" s="11" t="s">
        <v>782</v>
      </c>
      <c r="E140" s="10" t="s">
        <v>48</v>
      </c>
    </row>
    <row r="141" customFormat="false" ht="15" hidden="false" customHeight="true" outlineLevel="0" collapsed="false">
      <c r="A141" s="10" t="s">
        <v>1061</v>
      </c>
      <c r="B141" s="10" t="s">
        <v>300</v>
      </c>
      <c r="C141" s="11" t="s">
        <v>1062</v>
      </c>
      <c r="D141" s="11" t="s">
        <v>782</v>
      </c>
      <c r="E141" s="10" t="s">
        <v>48</v>
      </c>
    </row>
    <row r="142" customFormat="false" ht="15" hidden="false" customHeight="true" outlineLevel="0" collapsed="false">
      <c r="A142" s="10" t="s">
        <v>1063</v>
      </c>
      <c r="B142" s="10" t="s">
        <v>300</v>
      </c>
      <c r="C142" s="11" t="s">
        <v>1064</v>
      </c>
      <c r="D142" s="11" t="s">
        <v>782</v>
      </c>
      <c r="E142" s="10" t="s">
        <v>48</v>
      </c>
    </row>
    <row r="143" customFormat="false" ht="15" hidden="false" customHeight="true" outlineLevel="0" collapsed="false">
      <c r="A143" s="10" t="s">
        <v>1065</v>
      </c>
      <c r="B143" s="10" t="s">
        <v>300</v>
      </c>
      <c r="C143" s="11" t="s">
        <v>1066</v>
      </c>
      <c r="D143" s="11" t="s">
        <v>782</v>
      </c>
      <c r="E143" s="10" t="s">
        <v>48</v>
      </c>
    </row>
    <row r="144" customFormat="false" ht="15" hidden="false" customHeight="true" outlineLevel="0" collapsed="false">
      <c r="A144" s="10" t="s">
        <v>1067</v>
      </c>
      <c r="B144" s="10" t="s">
        <v>300</v>
      </c>
      <c r="C144" s="11" t="s">
        <v>1068</v>
      </c>
      <c r="D144" s="11" t="s">
        <v>782</v>
      </c>
      <c r="E144" s="10" t="s">
        <v>48</v>
      </c>
    </row>
    <row r="145" customFormat="false" ht="15" hidden="false" customHeight="true" outlineLevel="0" collapsed="false">
      <c r="A145" s="10" t="s">
        <v>1069</v>
      </c>
      <c r="B145" s="10" t="s">
        <v>300</v>
      </c>
      <c r="C145" s="11" t="s">
        <v>1070</v>
      </c>
      <c r="D145" s="11" t="s">
        <v>782</v>
      </c>
      <c r="E145" s="10" t="s">
        <v>48</v>
      </c>
    </row>
    <row r="146" customFormat="false" ht="15" hidden="false" customHeight="true" outlineLevel="0" collapsed="false">
      <c r="A146" s="10" t="s">
        <v>1071</v>
      </c>
      <c r="B146" s="10" t="s">
        <v>300</v>
      </c>
      <c r="C146" s="11" t="s">
        <v>1072</v>
      </c>
      <c r="D146" s="11" t="s">
        <v>782</v>
      </c>
      <c r="E146" s="10" t="s">
        <v>48</v>
      </c>
    </row>
    <row r="147" customFormat="false" ht="15" hidden="false" customHeight="true" outlineLevel="0" collapsed="false">
      <c r="A147" s="10" t="s">
        <v>1073</v>
      </c>
      <c r="B147" s="10" t="s">
        <v>300</v>
      </c>
      <c r="C147" s="11" t="s">
        <v>1074</v>
      </c>
      <c r="D147" s="11" t="s">
        <v>782</v>
      </c>
      <c r="E147" s="10" t="s">
        <v>183</v>
      </c>
    </row>
    <row r="148" customFormat="false" ht="15" hidden="false" customHeight="true" outlineLevel="0" collapsed="false">
      <c r="A148" s="10" t="s">
        <v>1075</v>
      </c>
      <c r="B148" s="10" t="s">
        <v>300</v>
      </c>
      <c r="C148" s="11" t="s">
        <v>1076</v>
      </c>
      <c r="D148" s="11" t="s">
        <v>782</v>
      </c>
      <c r="E148" s="10" t="s">
        <v>48</v>
      </c>
    </row>
    <row r="149" customFormat="false" ht="15" hidden="false" customHeight="true" outlineLevel="0" collapsed="false">
      <c r="A149" s="10" t="s">
        <v>1077</v>
      </c>
      <c r="B149" s="10" t="s">
        <v>300</v>
      </c>
      <c r="C149" s="11" t="s">
        <v>1078</v>
      </c>
      <c r="D149" s="11" t="s">
        <v>782</v>
      </c>
      <c r="E149" s="10" t="s">
        <v>48</v>
      </c>
    </row>
    <row r="150" customFormat="false" ht="15" hidden="false" customHeight="true" outlineLevel="0" collapsed="false">
      <c r="A150" s="10" t="s">
        <v>1079</v>
      </c>
      <c r="B150" s="10" t="s">
        <v>300</v>
      </c>
      <c r="C150" s="11" t="s">
        <v>1080</v>
      </c>
      <c r="D150" s="11" t="s">
        <v>782</v>
      </c>
      <c r="E150" s="10" t="s">
        <v>48</v>
      </c>
    </row>
    <row r="151" customFormat="false" ht="15" hidden="false" customHeight="true" outlineLevel="0" collapsed="false">
      <c r="A151" s="10" t="s">
        <v>1081</v>
      </c>
      <c r="B151" s="10" t="s">
        <v>300</v>
      </c>
      <c r="C151" s="11" t="s">
        <v>1082</v>
      </c>
      <c r="D151" s="11" t="s">
        <v>782</v>
      </c>
      <c r="E151" s="10" t="s">
        <v>48</v>
      </c>
    </row>
    <row r="152" customFormat="false" ht="15" hidden="false" customHeight="true" outlineLevel="0" collapsed="false">
      <c r="A152" s="10" t="s">
        <v>1083</v>
      </c>
      <c r="B152" s="10" t="s">
        <v>308</v>
      </c>
      <c r="C152" s="11" t="s">
        <v>1084</v>
      </c>
      <c r="D152" s="11" t="s">
        <v>782</v>
      </c>
      <c r="E152" s="10" t="s">
        <v>183</v>
      </c>
    </row>
    <row r="153" customFormat="false" ht="15" hidden="false" customHeight="true" outlineLevel="0" collapsed="false">
      <c r="A153" s="10" t="s">
        <v>1085</v>
      </c>
      <c r="B153" s="10" t="s">
        <v>308</v>
      </c>
      <c r="C153" s="11" t="s">
        <v>1086</v>
      </c>
      <c r="D153" s="11" t="s">
        <v>782</v>
      </c>
      <c r="E153" s="10" t="s">
        <v>183</v>
      </c>
    </row>
    <row r="154" customFormat="false" ht="23.25" hidden="false" customHeight="true" outlineLevel="0" collapsed="false">
      <c r="A154" s="10" t="s">
        <v>1087</v>
      </c>
      <c r="B154" s="10" t="s">
        <v>308</v>
      </c>
      <c r="C154" s="11" t="s">
        <v>1088</v>
      </c>
      <c r="D154" s="11" t="s">
        <v>791</v>
      </c>
      <c r="E154" s="10" t="s">
        <v>183</v>
      </c>
    </row>
    <row r="155" customFormat="false" ht="15" hidden="false" customHeight="true" outlineLevel="0" collapsed="false">
      <c r="A155" s="10" t="s">
        <v>1089</v>
      </c>
      <c r="B155" s="10" t="s">
        <v>308</v>
      </c>
      <c r="C155" s="11" t="s">
        <v>1090</v>
      </c>
      <c r="D155" s="11" t="s">
        <v>782</v>
      </c>
      <c r="E155" s="10" t="s">
        <v>48</v>
      </c>
    </row>
    <row r="156" customFormat="false" ht="15" hidden="false" customHeight="true" outlineLevel="0" collapsed="false">
      <c r="A156" s="10" t="s">
        <v>1091</v>
      </c>
      <c r="B156" s="10" t="s">
        <v>308</v>
      </c>
      <c r="C156" s="11" t="s">
        <v>1092</v>
      </c>
      <c r="D156" s="11" t="s">
        <v>782</v>
      </c>
      <c r="E156" s="10" t="s">
        <v>48</v>
      </c>
    </row>
    <row r="157" customFormat="false" ht="15" hidden="false" customHeight="true" outlineLevel="0" collapsed="false">
      <c r="A157" s="10" t="s">
        <v>1093</v>
      </c>
      <c r="B157" s="10" t="s">
        <v>308</v>
      </c>
      <c r="C157" s="11" t="s">
        <v>1094</v>
      </c>
      <c r="D157" s="11" t="s">
        <v>782</v>
      </c>
      <c r="E157" s="10" t="s">
        <v>183</v>
      </c>
    </row>
    <row r="158" customFormat="false" ht="23.25" hidden="false" customHeight="true" outlineLevel="0" collapsed="false">
      <c r="A158" s="10" t="s">
        <v>1095</v>
      </c>
      <c r="B158" s="10" t="s">
        <v>308</v>
      </c>
      <c r="C158" s="11" t="s">
        <v>1096</v>
      </c>
      <c r="D158" s="11" t="s">
        <v>791</v>
      </c>
      <c r="E158" s="10" t="s">
        <v>183</v>
      </c>
    </row>
    <row r="159" customFormat="false" ht="15" hidden="false" customHeight="true" outlineLevel="0" collapsed="false">
      <c r="A159" s="10" t="s">
        <v>1097</v>
      </c>
      <c r="B159" s="10" t="s">
        <v>308</v>
      </c>
      <c r="C159" s="11" t="s">
        <v>1098</v>
      </c>
      <c r="D159" s="11" t="s">
        <v>782</v>
      </c>
      <c r="E159" s="10" t="s">
        <v>183</v>
      </c>
    </row>
    <row r="160" customFormat="false" ht="15" hidden="false" customHeight="true" outlineLevel="0" collapsed="false">
      <c r="A160" s="10" t="s">
        <v>1099</v>
      </c>
      <c r="B160" s="10" t="s">
        <v>308</v>
      </c>
      <c r="C160" s="11" t="s">
        <v>1100</v>
      </c>
      <c r="D160" s="11" t="s">
        <v>782</v>
      </c>
      <c r="E160" s="10" t="s">
        <v>183</v>
      </c>
    </row>
    <row r="161" customFormat="false" ht="15" hidden="false" customHeight="true" outlineLevel="0" collapsed="false">
      <c r="A161" s="10" t="s">
        <v>1101</v>
      </c>
      <c r="B161" s="10" t="s">
        <v>308</v>
      </c>
      <c r="C161" s="11" t="s">
        <v>1102</v>
      </c>
      <c r="D161" s="11" t="s">
        <v>782</v>
      </c>
      <c r="E161" s="10" t="s">
        <v>48</v>
      </c>
    </row>
    <row r="162" customFormat="false" ht="15" hidden="false" customHeight="true" outlineLevel="0" collapsed="false">
      <c r="A162" s="10" t="s">
        <v>1103</v>
      </c>
      <c r="B162" s="10" t="s">
        <v>308</v>
      </c>
      <c r="C162" s="11" t="s">
        <v>1054</v>
      </c>
      <c r="D162" s="11" t="s">
        <v>782</v>
      </c>
      <c r="E162" s="10" t="s">
        <v>48</v>
      </c>
    </row>
    <row r="163" customFormat="false" ht="15" hidden="false" customHeight="true" outlineLevel="0" collapsed="false">
      <c r="A163" s="10" t="s">
        <v>1104</v>
      </c>
      <c r="B163" s="10" t="s">
        <v>308</v>
      </c>
      <c r="C163" s="11" t="s">
        <v>1056</v>
      </c>
      <c r="D163" s="11" t="s">
        <v>782</v>
      </c>
      <c r="E163" s="10" t="s">
        <v>48</v>
      </c>
    </row>
    <row r="164" customFormat="false" ht="15" hidden="false" customHeight="true" outlineLevel="0" collapsed="false">
      <c r="A164" s="10" t="s">
        <v>1105</v>
      </c>
      <c r="B164" s="10" t="s">
        <v>308</v>
      </c>
      <c r="C164" s="11" t="s">
        <v>1106</v>
      </c>
      <c r="D164" s="11" t="s">
        <v>782</v>
      </c>
      <c r="E164" s="10" t="s">
        <v>48</v>
      </c>
    </row>
    <row r="165" customFormat="false" ht="15" hidden="false" customHeight="true" outlineLevel="0" collapsed="false">
      <c r="A165" s="10" t="s">
        <v>1107</v>
      </c>
      <c r="B165" s="10" t="s">
        <v>326</v>
      </c>
      <c r="C165" s="11" t="s">
        <v>1108</v>
      </c>
      <c r="D165" s="11" t="s">
        <v>782</v>
      </c>
      <c r="E165" s="10" t="s">
        <v>48</v>
      </c>
    </row>
    <row r="166" customFormat="false" ht="15" hidden="false" customHeight="true" outlineLevel="0" collapsed="false">
      <c r="A166" s="10" t="s">
        <v>1109</v>
      </c>
      <c r="B166" s="10" t="s">
        <v>326</v>
      </c>
      <c r="C166" s="11" t="s">
        <v>1110</v>
      </c>
      <c r="D166" s="11" t="s">
        <v>782</v>
      </c>
      <c r="E166" s="10" t="s">
        <v>183</v>
      </c>
    </row>
    <row r="167" customFormat="false" ht="15" hidden="false" customHeight="true" outlineLevel="0" collapsed="false">
      <c r="A167" s="10" t="s">
        <v>1111</v>
      </c>
      <c r="B167" s="10" t="s">
        <v>326</v>
      </c>
      <c r="C167" s="11" t="s">
        <v>1112</v>
      </c>
      <c r="D167" s="11" t="s">
        <v>782</v>
      </c>
      <c r="E167" s="10" t="s">
        <v>48</v>
      </c>
    </row>
    <row r="168" customFormat="false" ht="23.25" hidden="false" customHeight="true" outlineLevel="0" collapsed="false">
      <c r="A168" s="10" t="s">
        <v>1113</v>
      </c>
      <c r="B168" s="10" t="s">
        <v>326</v>
      </c>
      <c r="C168" s="11" t="s">
        <v>1114</v>
      </c>
      <c r="D168" s="11" t="s">
        <v>782</v>
      </c>
      <c r="E168" s="10" t="s">
        <v>183</v>
      </c>
    </row>
    <row r="169" customFormat="false" ht="15" hidden="false" customHeight="true" outlineLevel="0" collapsed="false">
      <c r="A169" s="10" t="s">
        <v>1115</v>
      </c>
      <c r="B169" s="10" t="s">
        <v>326</v>
      </c>
      <c r="C169" s="11" t="s">
        <v>1116</v>
      </c>
      <c r="D169" s="11" t="s">
        <v>782</v>
      </c>
      <c r="E169" s="10" t="s">
        <v>48</v>
      </c>
    </row>
    <row r="170" customFormat="false" ht="15" hidden="false" customHeight="true" outlineLevel="0" collapsed="false">
      <c r="A170" s="10" t="s">
        <v>1117</v>
      </c>
      <c r="B170" s="10" t="s">
        <v>326</v>
      </c>
      <c r="C170" s="11" t="s">
        <v>1118</v>
      </c>
      <c r="D170" s="11" t="s">
        <v>782</v>
      </c>
      <c r="E170" s="10" t="s">
        <v>48</v>
      </c>
    </row>
    <row r="171" customFormat="false" ht="15" hidden="false" customHeight="true" outlineLevel="0" collapsed="false">
      <c r="A171" s="10" t="s">
        <v>1119</v>
      </c>
      <c r="B171" s="10" t="s">
        <v>326</v>
      </c>
      <c r="C171" s="11" t="s">
        <v>1120</v>
      </c>
      <c r="D171" s="11" t="s">
        <v>782</v>
      </c>
      <c r="E171" s="10" t="s">
        <v>48</v>
      </c>
    </row>
    <row r="172" customFormat="false" ht="15" hidden="false" customHeight="true" outlineLevel="0" collapsed="false">
      <c r="A172" s="10" t="s">
        <v>1121</v>
      </c>
      <c r="B172" s="10" t="s">
        <v>326</v>
      </c>
      <c r="C172" s="11" t="s">
        <v>1122</v>
      </c>
      <c r="D172" s="11" t="s">
        <v>782</v>
      </c>
      <c r="E172" s="10" t="s">
        <v>70</v>
      </c>
    </row>
    <row r="173" customFormat="false" ht="15" hidden="false" customHeight="true" outlineLevel="0" collapsed="false">
      <c r="A173" s="10" t="s">
        <v>1123</v>
      </c>
      <c r="B173" s="10" t="s">
        <v>326</v>
      </c>
      <c r="C173" s="11" t="s">
        <v>1124</v>
      </c>
      <c r="D173" s="11" t="s">
        <v>782</v>
      </c>
      <c r="E173" s="10" t="s">
        <v>48</v>
      </c>
    </row>
    <row r="174" customFormat="false" ht="23.25" hidden="false" customHeight="true" outlineLevel="0" collapsed="false">
      <c r="A174" s="10" t="s">
        <v>1125</v>
      </c>
      <c r="B174" s="10" t="s">
        <v>326</v>
      </c>
      <c r="C174" s="11" t="s">
        <v>1126</v>
      </c>
      <c r="D174" s="11" t="s">
        <v>782</v>
      </c>
      <c r="E174" s="10" t="s">
        <v>183</v>
      </c>
    </row>
    <row r="175" customFormat="false" ht="23.25" hidden="false" customHeight="true" outlineLevel="0" collapsed="false">
      <c r="A175" s="10" t="s">
        <v>1127</v>
      </c>
      <c r="B175" s="10" t="s">
        <v>326</v>
      </c>
      <c r="C175" s="11" t="s">
        <v>1128</v>
      </c>
      <c r="D175" s="11" t="s">
        <v>782</v>
      </c>
      <c r="E175" s="10" t="s">
        <v>48</v>
      </c>
    </row>
    <row r="176" customFormat="false" ht="15" hidden="false" customHeight="true" outlineLevel="0" collapsed="false">
      <c r="A176" s="10" t="s">
        <v>1129</v>
      </c>
      <c r="B176" s="10" t="s">
        <v>332</v>
      </c>
      <c r="C176" s="11" t="s">
        <v>1130</v>
      </c>
      <c r="D176" s="11" t="s">
        <v>782</v>
      </c>
      <c r="E176" s="10" t="s">
        <v>70</v>
      </c>
    </row>
    <row r="177" customFormat="false" ht="15" hidden="false" customHeight="true" outlineLevel="0" collapsed="false">
      <c r="A177" s="10" t="s">
        <v>1131</v>
      </c>
      <c r="B177" s="10" t="s">
        <v>347</v>
      </c>
      <c r="C177" s="11" t="s">
        <v>1132</v>
      </c>
      <c r="D177" s="11" t="s">
        <v>782</v>
      </c>
      <c r="E177" s="10" t="s">
        <v>183</v>
      </c>
    </row>
    <row r="178" customFormat="false" ht="15" hidden="false" customHeight="true" outlineLevel="0" collapsed="false">
      <c r="A178" s="10" t="s">
        <v>1133</v>
      </c>
      <c r="B178" s="10" t="s">
        <v>347</v>
      </c>
      <c r="C178" s="11" t="s">
        <v>1134</v>
      </c>
      <c r="D178" s="11" t="s">
        <v>782</v>
      </c>
      <c r="E178" s="10" t="s">
        <v>183</v>
      </c>
    </row>
    <row r="179" customFormat="false" ht="23.25" hidden="false" customHeight="true" outlineLevel="0" collapsed="false">
      <c r="A179" s="10" t="s">
        <v>1135</v>
      </c>
      <c r="B179" s="10" t="s">
        <v>370</v>
      </c>
      <c r="C179" s="11" t="s">
        <v>1136</v>
      </c>
      <c r="D179" s="11" t="s">
        <v>1137</v>
      </c>
      <c r="E179" s="10" t="s">
        <v>183</v>
      </c>
    </row>
    <row r="180" customFormat="false" ht="23.25" hidden="false" customHeight="true" outlineLevel="0" collapsed="false">
      <c r="A180" s="10" t="s">
        <v>1138</v>
      </c>
      <c r="B180" s="10" t="s">
        <v>380</v>
      </c>
      <c r="C180" s="11" t="s">
        <v>1139</v>
      </c>
      <c r="D180" s="11" t="s">
        <v>782</v>
      </c>
      <c r="E180" s="10" t="s">
        <v>48</v>
      </c>
    </row>
    <row r="181" customFormat="false" ht="15" hidden="false" customHeight="true" outlineLevel="0" collapsed="false">
      <c r="A181" s="10" t="s">
        <v>1140</v>
      </c>
      <c r="B181" s="10" t="s">
        <v>380</v>
      </c>
      <c r="C181" s="11" t="s">
        <v>1141</v>
      </c>
      <c r="D181" s="11" t="s">
        <v>782</v>
      </c>
      <c r="E181" s="10" t="s">
        <v>48</v>
      </c>
    </row>
    <row r="182" customFormat="false" ht="15" hidden="false" customHeight="true" outlineLevel="0" collapsed="false">
      <c r="A182" s="10" t="s">
        <v>1142</v>
      </c>
      <c r="B182" s="10" t="s">
        <v>380</v>
      </c>
      <c r="C182" s="11" t="s">
        <v>1143</v>
      </c>
      <c r="D182" s="11" t="s">
        <v>782</v>
      </c>
      <c r="E182" s="10" t="s">
        <v>48</v>
      </c>
    </row>
    <row r="183" customFormat="false" ht="15" hidden="false" customHeight="true" outlineLevel="0" collapsed="false">
      <c r="A183" s="10" t="s">
        <v>1144</v>
      </c>
      <c r="B183" s="10" t="s">
        <v>380</v>
      </c>
      <c r="C183" s="11" t="s">
        <v>1145</v>
      </c>
      <c r="D183" s="11" t="s">
        <v>782</v>
      </c>
      <c r="E183" s="10" t="s">
        <v>48</v>
      </c>
    </row>
    <row r="184" customFormat="false" ht="15" hidden="false" customHeight="true" outlineLevel="0" collapsed="false">
      <c r="A184" s="10" t="s">
        <v>1146</v>
      </c>
      <c r="B184" s="10" t="s">
        <v>380</v>
      </c>
      <c r="C184" s="11" t="s">
        <v>1147</v>
      </c>
      <c r="D184" s="11" t="s">
        <v>782</v>
      </c>
      <c r="E184" s="10" t="s">
        <v>48</v>
      </c>
    </row>
    <row r="185" customFormat="false" ht="15" hidden="false" customHeight="true" outlineLevel="0" collapsed="false">
      <c r="A185" s="10" t="s">
        <v>1148</v>
      </c>
      <c r="B185" s="10" t="s">
        <v>380</v>
      </c>
      <c r="C185" s="11" t="s">
        <v>1149</v>
      </c>
      <c r="D185" s="11" t="s">
        <v>782</v>
      </c>
      <c r="E185" s="10" t="s">
        <v>70</v>
      </c>
    </row>
    <row r="186" customFormat="false" ht="15" hidden="false" customHeight="true" outlineLevel="0" collapsed="false">
      <c r="A186" s="10" t="s">
        <v>1150</v>
      </c>
      <c r="B186" s="10" t="s">
        <v>380</v>
      </c>
      <c r="C186" s="11" t="s">
        <v>1151</v>
      </c>
      <c r="D186" s="11" t="s">
        <v>782</v>
      </c>
      <c r="E186" s="10" t="s">
        <v>70</v>
      </c>
    </row>
    <row r="187" customFormat="false" ht="15" hidden="false" customHeight="true" outlineLevel="0" collapsed="false">
      <c r="A187" s="10" t="s">
        <v>1152</v>
      </c>
      <c r="B187" s="10" t="s">
        <v>380</v>
      </c>
      <c r="C187" s="11" t="s">
        <v>1153</v>
      </c>
      <c r="D187" s="11" t="s">
        <v>782</v>
      </c>
      <c r="E187" s="10" t="s">
        <v>70</v>
      </c>
    </row>
    <row r="188" customFormat="false" ht="23.25" hidden="false" customHeight="true" outlineLevel="0" collapsed="false">
      <c r="A188" s="10" t="s">
        <v>1154</v>
      </c>
      <c r="B188" s="10" t="s">
        <v>380</v>
      </c>
      <c r="C188" s="11" t="s">
        <v>1155</v>
      </c>
      <c r="D188" s="11" t="s">
        <v>782</v>
      </c>
      <c r="E188" s="10" t="s">
        <v>48</v>
      </c>
    </row>
    <row r="189" customFormat="false" ht="15" hidden="false" customHeight="true" outlineLevel="0" collapsed="false">
      <c r="A189" s="10" t="s">
        <v>1156</v>
      </c>
      <c r="B189" s="10" t="s">
        <v>380</v>
      </c>
      <c r="C189" s="11" t="s">
        <v>1157</v>
      </c>
      <c r="D189" s="11" t="s">
        <v>782</v>
      </c>
      <c r="E189" s="10" t="s">
        <v>48</v>
      </c>
    </row>
    <row r="190" customFormat="false" ht="23.25" hidden="false" customHeight="true" outlineLevel="0" collapsed="false">
      <c r="A190" s="10" t="s">
        <v>1158</v>
      </c>
      <c r="B190" s="10" t="s">
        <v>380</v>
      </c>
      <c r="C190" s="11" t="s">
        <v>1159</v>
      </c>
      <c r="D190" s="11" t="s">
        <v>782</v>
      </c>
      <c r="E190" s="10" t="s">
        <v>48</v>
      </c>
    </row>
    <row r="191" customFormat="false" ht="15" hidden="false" customHeight="true" outlineLevel="0" collapsed="false">
      <c r="A191" s="10" t="s">
        <v>1160</v>
      </c>
      <c r="B191" s="10" t="s">
        <v>389</v>
      </c>
      <c r="C191" s="11" t="s">
        <v>1161</v>
      </c>
      <c r="D191" s="11" t="s">
        <v>782</v>
      </c>
      <c r="E191" s="10" t="s">
        <v>48</v>
      </c>
    </row>
    <row r="192" customFormat="false" ht="15" hidden="false" customHeight="true" outlineLevel="0" collapsed="false">
      <c r="A192" s="10" t="s">
        <v>1162</v>
      </c>
      <c r="B192" s="10" t="s">
        <v>389</v>
      </c>
      <c r="C192" s="11" t="s">
        <v>1163</v>
      </c>
      <c r="D192" s="11" t="s">
        <v>782</v>
      </c>
      <c r="E192" s="10" t="s">
        <v>48</v>
      </c>
    </row>
    <row r="193" customFormat="false" ht="15" hidden="false" customHeight="true" outlineLevel="0" collapsed="false">
      <c r="A193" s="10" t="s">
        <v>1164</v>
      </c>
      <c r="B193" s="10" t="s">
        <v>389</v>
      </c>
      <c r="C193" s="11" t="s">
        <v>1165</v>
      </c>
      <c r="D193" s="11" t="s">
        <v>782</v>
      </c>
      <c r="E193" s="10" t="s">
        <v>48</v>
      </c>
    </row>
    <row r="194" customFormat="false" ht="15" hidden="false" customHeight="true" outlineLevel="0" collapsed="false">
      <c r="A194" s="10" t="s">
        <v>1166</v>
      </c>
      <c r="B194" s="10" t="s">
        <v>389</v>
      </c>
      <c r="C194" s="11" t="s">
        <v>1167</v>
      </c>
      <c r="D194" s="11" t="s">
        <v>782</v>
      </c>
      <c r="E194" s="10" t="s">
        <v>48</v>
      </c>
    </row>
    <row r="195" customFormat="false" ht="15" hidden="false" customHeight="true" outlineLevel="0" collapsed="false">
      <c r="A195" s="10" t="s">
        <v>1168</v>
      </c>
      <c r="B195" s="10" t="s">
        <v>389</v>
      </c>
      <c r="C195" s="11" t="s">
        <v>1169</v>
      </c>
      <c r="D195" s="11" t="s">
        <v>782</v>
      </c>
      <c r="E195" s="10" t="s">
        <v>48</v>
      </c>
    </row>
    <row r="196" customFormat="false" ht="15" hidden="false" customHeight="true" outlineLevel="0" collapsed="false">
      <c r="A196" s="10" t="s">
        <v>1170</v>
      </c>
      <c r="B196" s="10" t="s">
        <v>389</v>
      </c>
      <c r="C196" s="11" t="s">
        <v>1171</v>
      </c>
      <c r="D196" s="11" t="s">
        <v>782</v>
      </c>
      <c r="E196" s="10" t="s">
        <v>48</v>
      </c>
    </row>
    <row r="197" customFormat="false" ht="15" hidden="false" customHeight="true" outlineLevel="0" collapsed="false">
      <c r="A197" s="10" t="s">
        <v>1172</v>
      </c>
      <c r="B197" s="10" t="s">
        <v>389</v>
      </c>
      <c r="C197" s="11" t="s">
        <v>1056</v>
      </c>
      <c r="D197" s="11" t="s">
        <v>782</v>
      </c>
      <c r="E197" s="10" t="s">
        <v>48</v>
      </c>
    </row>
    <row r="198" customFormat="false" ht="15" hidden="false" customHeight="true" outlineLevel="0" collapsed="false">
      <c r="A198" s="10" t="s">
        <v>1173</v>
      </c>
      <c r="B198" s="10" t="s">
        <v>389</v>
      </c>
      <c r="C198" s="11" t="s">
        <v>1174</v>
      </c>
      <c r="D198" s="11" t="s">
        <v>782</v>
      </c>
      <c r="E198" s="10" t="s">
        <v>48</v>
      </c>
    </row>
    <row r="199" customFormat="false" ht="15" hidden="false" customHeight="true" outlineLevel="0" collapsed="false">
      <c r="A199" s="10" t="s">
        <v>1175</v>
      </c>
      <c r="B199" s="10" t="s">
        <v>389</v>
      </c>
      <c r="C199" s="11" t="s">
        <v>1176</v>
      </c>
      <c r="D199" s="11" t="s">
        <v>782</v>
      </c>
      <c r="E199" s="10" t="s">
        <v>48</v>
      </c>
    </row>
    <row r="200" customFormat="false" ht="15" hidden="false" customHeight="true" outlineLevel="0" collapsed="false">
      <c r="A200" s="10" t="s">
        <v>1177</v>
      </c>
      <c r="B200" s="10" t="s">
        <v>389</v>
      </c>
      <c r="C200" s="11" t="s">
        <v>1178</v>
      </c>
      <c r="D200" s="11" t="s">
        <v>782</v>
      </c>
      <c r="E200" s="10" t="s">
        <v>48</v>
      </c>
    </row>
    <row r="201" customFormat="false" ht="15" hidden="false" customHeight="true" outlineLevel="0" collapsed="false">
      <c r="A201" s="10" t="s">
        <v>1179</v>
      </c>
      <c r="B201" s="10" t="s">
        <v>407</v>
      </c>
      <c r="C201" s="11" t="s">
        <v>1180</v>
      </c>
      <c r="D201" s="11" t="s">
        <v>782</v>
      </c>
      <c r="E201" s="10" t="s">
        <v>183</v>
      </c>
    </row>
    <row r="202" customFormat="false" ht="23.25" hidden="false" customHeight="true" outlineLevel="0" collapsed="false">
      <c r="A202" s="10" t="s">
        <v>1181</v>
      </c>
      <c r="B202" s="10" t="s">
        <v>407</v>
      </c>
      <c r="C202" s="11" t="s">
        <v>1182</v>
      </c>
      <c r="D202" s="11" t="s">
        <v>782</v>
      </c>
      <c r="E202" s="10" t="s">
        <v>183</v>
      </c>
    </row>
    <row r="203" customFormat="false" ht="15" hidden="false" customHeight="true" outlineLevel="0" collapsed="false">
      <c r="A203" s="10" t="s">
        <v>1183</v>
      </c>
      <c r="B203" s="10" t="s">
        <v>407</v>
      </c>
      <c r="C203" s="11" t="s">
        <v>1184</v>
      </c>
      <c r="D203" s="11" t="s">
        <v>782</v>
      </c>
      <c r="E203" s="10" t="s">
        <v>48</v>
      </c>
    </row>
    <row r="204" customFormat="false" ht="15" hidden="false" customHeight="true" outlineLevel="0" collapsed="false">
      <c r="A204" s="10" t="s">
        <v>1185</v>
      </c>
      <c r="B204" s="10" t="s">
        <v>407</v>
      </c>
      <c r="C204" s="11" t="s">
        <v>1186</v>
      </c>
      <c r="D204" s="11" t="s">
        <v>782</v>
      </c>
      <c r="E204" s="10" t="s">
        <v>48</v>
      </c>
    </row>
    <row r="205" customFormat="false" ht="15" hidden="false" customHeight="true" outlineLevel="0" collapsed="false">
      <c r="A205" s="10" t="s">
        <v>1187</v>
      </c>
      <c r="B205" s="10" t="s">
        <v>407</v>
      </c>
      <c r="C205" s="11" t="s">
        <v>1188</v>
      </c>
      <c r="D205" s="11" t="s">
        <v>782</v>
      </c>
      <c r="E205" s="10" t="s">
        <v>48</v>
      </c>
    </row>
    <row r="206" customFormat="false" ht="23.25" hidden="false" customHeight="true" outlineLevel="0" collapsed="false">
      <c r="A206" s="10" t="s">
        <v>1189</v>
      </c>
      <c r="B206" s="10" t="s">
        <v>407</v>
      </c>
      <c r="C206" s="11" t="s">
        <v>1190</v>
      </c>
      <c r="D206" s="11" t="s">
        <v>782</v>
      </c>
      <c r="E206" s="10" t="s">
        <v>48</v>
      </c>
    </row>
    <row r="207" customFormat="false" ht="15" hidden="false" customHeight="true" outlineLevel="0" collapsed="false">
      <c r="A207" s="10" t="s">
        <v>1191</v>
      </c>
      <c r="B207" s="10" t="s">
        <v>407</v>
      </c>
      <c r="C207" s="11" t="s">
        <v>1192</v>
      </c>
      <c r="D207" s="11" t="s">
        <v>782</v>
      </c>
      <c r="E207" s="10" t="s">
        <v>48</v>
      </c>
    </row>
    <row r="208" customFormat="false" ht="15" hidden="false" customHeight="true" outlineLevel="0" collapsed="false">
      <c r="A208" s="10" t="s">
        <v>1193</v>
      </c>
      <c r="B208" s="10" t="s">
        <v>407</v>
      </c>
      <c r="C208" s="11" t="s">
        <v>1194</v>
      </c>
      <c r="D208" s="11" t="s">
        <v>782</v>
      </c>
      <c r="E208" s="10" t="s">
        <v>48</v>
      </c>
    </row>
    <row r="209" customFormat="false" ht="15" hidden="false" customHeight="true" outlineLevel="0" collapsed="false">
      <c r="A209" s="10" t="s">
        <v>1195</v>
      </c>
      <c r="B209" s="10" t="s">
        <v>407</v>
      </c>
      <c r="C209" s="11" t="s">
        <v>1196</v>
      </c>
      <c r="D209" s="11" t="s">
        <v>782</v>
      </c>
      <c r="E209" s="10" t="s">
        <v>70</v>
      </c>
    </row>
    <row r="210" customFormat="false" ht="15" hidden="false" customHeight="true" outlineLevel="0" collapsed="false">
      <c r="A210" s="10" t="s">
        <v>1197</v>
      </c>
      <c r="B210" s="10" t="s">
        <v>407</v>
      </c>
      <c r="C210" s="11" t="s">
        <v>1056</v>
      </c>
      <c r="D210" s="11" t="s">
        <v>782</v>
      </c>
      <c r="E210" s="10" t="s">
        <v>48</v>
      </c>
    </row>
    <row r="211" customFormat="false" ht="15" hidden="false" customHeight="true" outlineLevel="0" collapsed="false">
      <c r="A211" s="10" t="s">
        <v>1198</v>
      </c>
      <c r="B211" s="10" t="s">
        <v>407</v>
      </c>
      <c r="C211" s="11" t="s">
        <v>1199</v>
      </c>
      <c r="D211" s="11" t="s">
        <v>782</v>
      </c>
      <c r="E211" s="10" t="s">
        <v>48</v>
      </c>
    </row>
    <row r="212" customFormat="false" ht="15" hidden="false" customHeight="true" outlineLevel="0" collapsed="false">
      <c r="A212" s="10" t="s">
        <v>1200</v>
      </c>
      <c r="B212" s="10" t="s">
        <v>407</v>
      </c>
      <c r="C212" s="11" t="s">
        <v>1201</v>
      </c>
      <c r="D212" s="11" t="s">
        <v>782</v>
      </c>
      <c r="E212" s="10" t="s">
        <v>48</v>
      </c>
    </row>
    <row r="213" customFormat="false" ht="15" hidden="false" customHeight="true" outlineLevel="0" collapsed="false">
      <c r="A213" s="10" t="s">
        <v>1202</v>
      </c>
      <c r="B213" s="10" t="s">
        <v>407</v>
      </c>
      <c r="C213" s="11" t="s">
        <v>1203</v>
      </c>
      <c r="D213" s="11" t="s">
        <v>782</v>
      </c>
      <c r="E213" s="10" t="s">
        <v>183</v>
      </c>
    </row>
    <row r="214" customFormat="false" ht="15" hidden="false" customHeight="true" outlineLevel="0" collapsed="false">
      <c r="A214" s="10" t="s">
        <v>1204</v>
      </c>
      <c r="B214" s="10" t="s">
        <v>407</v>
      </c>
      <c r="C214" s="11" t="s">
        <v>1205</v>
      </c>
      <c r="D214" s="11" t="s">
        <v>782</v>
      </c>
      <c r="E214" s="10" t="s">
        <v>48</v>
      </c>
    </row>
    <row r="215" customFormat="false" ht="15" hidden="false" customHeight="true" outlineLevel="0" collapsed="false">
      <c r="A215" s="10" t="s">
        <v>1206</v>
      </c>
      <c r="B215" s="10" t="s">
        <v>407</v>
      </c>
      <c r="C215" s="11" t="s">
        <v>1207</v>
      </c>
      <c r="D215" s="11" t="s">
        <v>782</v>
      </c>
      <c r="E215" s="10" t="s">
        <v>48</v>
      </c>
    </row>
    <row r="216" customFormat="false" ht="15" hidden="false" customHeight="true" outlineLevel="0" collapsed="false">
      <c r="A216" s="10" t="s">
        <v>1208</v>
      </c>
      <c r="B216" s="10" t="s">
        <v>407</v>
      </c>
      <c r="C216" s="11" t="s">
        <v>1209</v>
      </c>
      <c r="D216" s="11" t="s">
        <v>782</v>
      </c>
      <c r="E216" s="10" t="s">
        <v>48</v>
      </c>
    </row>
    <row r="217" customFormat="false" ht="15" hidden="false" customHeight="true" outlineLevel="0" collapsed="false">
      <c r="A217" s="10" t="s">
        <v>1210</v>
      </c>
      <c r="B217" s="10" t="s">
        <v>1211</v>
      </c>
      <c r="C217" s="11" t="s">
        <v>1212</v>
      </c>
      <c r="D217" s="11" t="s">
        <v>782</v>
      </c>
      <c r="E217" s="10" t="s">
        <v>48</v>
      </c>
    </row>
    <row r="218" customFormat="false" ht="15" hidden="false" customHeight="true" outlineLevel="0" collapsed="false">
      <c r="A218" s="10" t="s">
        <v>1213</v>
      </c>
      <c r="B218" s="10" t="s">
        <v>1211</v>
      </c>
      <c r="C218" s="11" t="s">
        <v>1214</v>
      </c>
      <c r="D218" s="11" t="s">
        <v>782</v>
      </c>
      <c r="E218" s="10" t="s">
        <v>48</v>
      </c>
    </row>
    <row r="219" customFormat="false" ht="15" hidden="false" customHeight="true" outlineLevel="0" collapsed="false">
      <c r="A219" s="10" t="s">
        <v>1215</v>
      </c>
      <c r="B219" s="10" t="s">
        <v>1211</v>
      </c>
      <c r="C219" s="11" t="s">
        <v>1216</v>
      </c>
      <c r="D219" s="11" t="s">
        <v>782</v>
      </c>
      <c r="E219" s="10" t="s">
        <v>48</v>
      </c>
    </row>
    <row r="220" customFormat="false" ht="15" hidden="false" customHeight="true" outlineLevel="0" collapsed="false">
      <c r="A220" s="10" t="s">
        <v>1217</v>
      </c>
      <c r="B220" s="10" t="s">
        <v>418</v>
      </c>
      <c r="C220" s="11" t="s">
        <v>1218</v>
      </c>
      <c r="D220" s="11" t="s">
        <v>782</v>
      </c>
      <c r="E220" s="10" t="s">
        <v>48</v>
      </c>
    </row>
    <row r="221" customFormat="false" ht="15" hidden="false" customHeight="true" outlineLevel="0" collapsed="false">
      <c r="A221" s="10" t="s">
        <v>1219</v>
      </c>
      <c r="B221" s="10" t="s">
        <v>418</v>
      </c>
      <c r="C221" s="11" t="s">
        <v>1220</v>
      </c>
      <c r="D221" s="11" t="s">
        <v>782</v>
      </c>
      <c r="E221" s="10" t="s">
        <v>48</v>
      </c>
    </row>
    <row r="222" customFormat="false" ht="15" hidden="false" customHeight="true" outlineLevel="0" collapsed="false">
      <c r="A222" s="10" t="s">
        <v>1221</v>
      </c>
      <c r="B222" s="10" t="s">
        <v>418</v>
      </c>
      <c r="C222" s="11" t="s">
        <v>1222</v>
      </c>
      <c r="D222" s="11" t="s">
        <v>782</v>
      </c>
      <c r="E222" s="10" t="s">
        <v>183</v>
      </c>
    </row>
    <row r="223" customFormat="false" ht="15" hidden="false" customHeight="true" outlineLevel="0" collapsed="false">
      <c r="A223" s="10" t="s">
        <v>1223</v>
      </c>
      <c r="B223" s="10" t="s">
        <v>418</v>
      </c>
      <c r="C223" s="11" t="s">
        <v>1224</v>
      </c>
      <c r="D223" s="11" t="s">
        <v>782</v>
      </c>
      <c r="E223" s="10" t="s">
        <v>183</v>
      </c>
    </row>
    <row r="224" customFormat="false" ht="15" hidden="false" customHeight="true" outlineLevel="0" collapsed="false">
      <c r="A224" s="10" t="s">
        <v>1225</v>
      </c>
      <c r="B224" s="10" t="s">
        <v>418</v>
      </c>
      <c r="C224" s="11" t="s">
        <v>1226</v>
      </c>
      <c r="D224" s="11" t="s">
        <v>782</v>
      </c>
      <c r="E224" s="10" t="s">
        <v>183</v>
      </c>
    </row>
    <row r="225" customFormat="false" ht="15" hidden="false" customHeight="true" outlineLevel="0" collapsed="false">
      <c r="A225" s="10" t="s">
        <v>1227</v>
      </c>
      <c r="B225" s="10" t="s">
        <v>418</v>
      </c>
      <c r="C225" s="11" t="s">
        <v>1228</v>
      </c>
      <c r="D225" s="11" t="s">
        <v>782</v>
      </c>
      <c r="E225" s="10" t="s">
        <v>48</v>
      </c>
    </row>
    <row r="226" customFormat="false" ht="15" hidden="false" customHeight="true" outlineLevel="0" collapsed="false">
      <c r="A226" s="10" t="s">
        <v>1229</v>
      </c>
      <c r="B226" s="10" t="s">
        <v>418</v>
      </c>
      <c r="C226" s="11" t="s">
        <v>1230</v>
      </c>
      <c r="D226" s="11" t="s">
        <v>782</v>
      </c>
      <c r="E226" s="10" t="s">
        <v>48</v>
      </c>
    </row>
    <row r="227" customFormat="false" ht="15" hidden="false" customHeight="true" outlineLevel="0" collapsed="false">
      <c r="A227" s="10" t="s">
        <v>1231</v>
      </c>
      <c r="B227" s="10" t="s">
        <v>428</v>
      </c>
      <c r="C227" s="11" t="s">
        <v>1232</v>
      </c>
      <c r="D227" s="11" t="s">
        <v>782</v>
      </c>
      <c r="E227" s="10" t="s">
        <v>48</v>
      </c>
    </row>
    <row r="228" customFormat="false" ht="15" hidden="false" customHeight="true" outlineLevel="0" collapsed="false">
      <c r="A228" s="10" t="s">
        <v>1233</v>
      </c>
      <c r="B228" s="10" t="s">
        <v>428</v>
      </c>
      <c r="C228" s="11" t="s">
        <v>1234</v>
      </c>
      <c r="D228" s="11" t="s">
        <v>782</v>
      </c>
      <c r="E228" s="10" t="s">
        <v>48</v>
      </c>
    </row>
    <row r="229" customFormat="false" ht="15" hidden="false" customHeight="true" outlineLevel="0" collapsed="false">
      <c r="A229" s="10" t="s">
        <v>1235</v>
      </c>
      <c r="B229" s="10" t="s">
        <v>428</v>
      </c>
      <c r="C229" s="11" t="s">
        <v>1234</v>
      </c>
      <c r="D229" s="11" t="s">
        <v>782</v>
      </c>
      <c r="E229" s="10" t="s">
        <v>48</v>
      </c>
    </row>
    <row r="230" customFormat="false" ht="15" hidden="false" customHeight="true" outlineLevel="0" collapsed="false">
      <c r="A230" s="10" t="s">
        <v>1236</v>
      </c>
      <c r="B230" s="10" t="s">
        <v>428</v>
      </c>
      <c r="C230" s="11" t="s">
        <v>1234</v>
      </c>
      <c r="D230" s="11" t="s">
        <v>782</v>
      </c>
      <c r="E230" s="10" t="s">
        <v>48</v>
      </c>
    </row>
    <row r="231" customFormat="false" ht="15" hidden="false" customHeight="true" outlineLevel="0" collapsed="false">
      <c r="A231" s="10" t="s">
        <v>1237</v>
      </c>
      <c r="B231" s="10" t="s">
        <v>428</v>
      </c>
      <c r="C231" s="11" t="s">
        <v>1238</v>
      </c>
      <c r="D231" s="11" t="s">
        <v>782</v>
      </c>
      <c r="E231" s="10" t="s">
        <v>70</v>
      </c>
    </row>
    <row r="232" customFormat="false" ht="15" hidden="false" customHeight="true" outlineLevel="0" collapsed="false">
      <c r="A232" s="10" t="s">
        <v>1239</v>
      </c>
      <c r="B232" s="10" t="s">
        <v>428</v>
      </c>
      <c r="C232" s="11" t="s">
        <v>1240</v>
      </c>
      <c r="D232" s="11" t="s">
        <v>782</v>
      </c>
      <c r="E232" s="10" t="s">
        <v>183</v>
      </c>
    </row>
    <row r="233" customFormat="false" ht="15" hidden="false" customHeight="true" outlineLevel="0" collapsed="false">
      <c r="A233" s="10" t="s">
        <v>1241</v>
      </c>
      <c r="B233" s="10" t="s">
        <v>428</v>
      </c>
      <c r="C233" s="11" t="s">
        <v>1242</v>
      </c>
      <c r="D233" s="11" t="s">
        <v>782</v>
      </c>
      <c r="E233" s="10" t="s">
        <v>183</v>
      </c>
    </row>
    <row r="234" customFormat="false" ht="15" hidden="false" customHeight="true" outlineLevel="0" collapsed="false">
      <c r="A234" s="10" t="s">
        <v>1243</v>
      </c>
      <c r="B234" s="10" t="s">
        <v>428</v>
      </c>
      <c r="C234" s="11" t="s">
        <v>1244</v>
      </c>
      <c r="D234" s="11" t="s">
        <v>782</v>
      </c>
      <c r="E234" s="10" t="s">
        <v>183</v>
      </c>
    </row>
    <row r="235" customFormat="false" ht="15" hidden="false" customHeight="true" outlineLevel="0" collapsed="false">
      <c r="A235" s="10" t="s">
        <v>1245</v>
      </c>
      <c r="B235" s="10" t="s">
        <v>428</v>
      </c>
      <c r="C235" s="11" t="s">
        <v>1246</v>
      </c>
      <c r="D235" s="11" t="s">
        <v>782</v>
      </c>
      <c r="E235" s="10" t="s">
        <v>70</v>
      </c>
    </row>
    <row r="236" customFormat="false" ht="15" hidden="false" customHeight="true" outlineLevel="0" collapsed="false">
      <c r="A236" s="10" t="s">
        <v>1247</v>
      </c>
      <c r="B236" s="10" t="s">
        <v>449</v>
      </c>
      <c r="C236" s="11" t="s">
        <v>1248</v>
      </c>
      <c r="D236" s="11" t="s">
        <v>782</v>
      </c>
      <c r="E236" s="10" t="s">
        <v>48</v>
      </c>
    </row>
    <row r="237" customFormat="false" ht="15" hidden="false" customHeight="true" outlineLevel="0" collapsed="false">
      <c r="A237" s="10" t="s">
        <v>1249</v>
      </c>
      <c r="B237" s="10" t="s">
        <v>449</v>
      </c>
      <c r="C237" s="11" t="s">
        <v>1250</v>
      </c>
      <c r="D237" s="11" t="s">
        <v>782</v>
      </c>
      <c r="E237" s="10" t="s">
        <v>48</v>
      </c>
    </row>
    <row r="238" customFormat="false" ht="15" hidden="false" customHeight="true" outlineLevel="0" collapsed="false">
      <c r="A238" s="10" t="s">
        <v>1251</v>
      </c>
      <c r="B238" s="10" t="s">
        <v>449</v>
      </c>
      <c r="C238" s="11" t="s">
        <v>1250</v>
      </c>
      <c r="D238" s="11" t="s">
        <v>782</v>
      </c>
      <c r="E238" s="10" t="s">
        <v>48</v>
      </c>
    </row>
    <row r="239" customFormat="false" ht="15" hidden="false" customHeight="true" outlineLevel="0" collapsed="false">
      <c r="A239" s="10" t="s">
        <v>1252</v>
      </c>
      <c r="B239" s="10" t="s">
        <v>449</v>
      </c>
      <c r="C239" s="11" t="s">
        <v>1253</v>
      </c>
      <c r="D239" s="11" t="s">
        <v>782</v>
      </c>
      <c r="E239" s="10" t="s">
        <v>183</v>
      </c>
    </row>
    <row r="240" customFormat="false" ht="23.25" hidden="false" customHeight="true" outlineLevel="0" collapsed="false">
      <c r="A240" s="10" t="s">
        <v>1254</v>
      </c>
      <c r="B240" s="10" t="s">
        <v>449</v>
      </c>
      <c r="C240" s="11" t="s">
        <v>1255</v>
      </c>
      <c r="D240" s="11" t="s">
        <v>791</v>
      </c>
      <c r="E240" s="10" t="s">
        <v>183</v>
      </c>
    </row>
    <row r="241" customFormat="false" ht="15" hidden="false" customHeight="true" outlineLevel="0" collapsed="false">
      <c r="A241" s="10" t="s">
        <v>1256</v>
      </c>
      <c r="B241" s="10" t="s">
        <v>449</v>
      </c>
      <c r="C241" s="11" t="s">
        <v>1257</v>
      </c>
      <c r="D241" s="11" t="s">
        <v>782</v>
      </c>
      <c r="E241" s="10" t="s">
        <v>48</v>
      </c>
    </row>
    <row r="242" customFormat="false" ht="15" hidden="false" customHeight="true" outlineLevel="0" collapsed="false">
      <c r="A242" s="10" t="s">
        <v>1258</v>
      </c>
      <c r="B242" s="10" t="s">
        <v>449</v>
      </c>
      <c r="C242" s="11" t="s">
        <v>1259</v>
      </c>
      <c r="D242" s="11" t="s">
        <v>782</v>
      </c>
      <c r="E242" s="10" t="s">
        <v>48</v>
      </c>
    </row>
    <row r="243" customFormat="false" ht="15" hidden="false" customHeight="true" outlineLevel="0" collapsed="false">
      <c r="A243" s="10" t="s">
        <v>1260</v>
      </c>
      <c r="B243" s="10" t="s">
        <v>449</v>
      </c>
      <c r="C243" s="11" t="s">
        <v>1261</v>
      </c>
      <c r="D243" s="11" t="s">
        <v>782</v>
      </c>
      <c r="E243" s="10" t="s">
        <v>48</v>
      </c>
    </row>
    <row r="244" customFormat="false" ht="23.25" hidden="false" customHeight="true" outlineLevel="0" collapsed="false">
      <c r="A244" s="10" t="s">
        <v>1262</v>
      </c>
      <c r="B244" s="10" t="s">
        <v>449</v>
      </c>
      <c r="C244" s="11" t="s">
        <v>1263</v>
      </c>
      <c r="D244" s="11" t="s">
        <v>782</v>
      </c>
      <c r="E244" s="10" t="s">
        <v>48</v>
      </c>
    </row>
    <row r="245" customFormat="false" ht="23.25" hidden="false" customHeight="true" outlineLevel="0" collapsed="false">
      <c r="A245" s="10" t="s">
        <v>1264</v>
      </c>
      <c r="B245" s="10" t="s">
        <v>449</v>
      </c>
      <c r="C245" s="11" t="s">
        <v>1265</v>
      </c>
      <c r="D245" s="11" t="s">
        <v>782</v>
      </c>
      <c r="E245" s="10" t="s">
        <v>48</v>
      </c>
    </row>
    <row r="246" customFormat="false" ht="15" hidden="false" customHeight="true" outlineLevel="0" collapsed="false">
      <c r="A246" s="10" t="s">
        <v>1266</v>
      </c>
      <c r="B246" s="10" t="s">
        <v>449</v>
      </c>
      <c r="C246" s="11" t="s">
        <v>1267</v>
      </c>
      <c r="D246" s="11" t="s">
        <v>782</v>
      </c>
      <c r="E246" s="10" t="s">
        <v>48</v>
      </c>
    </row>
    <row r="247" customFormat="false" ht="15" hidden="false" customHeight="true" outlineLevel="0" collapsed="false">
      <c r="A247" s="10" t="s">
        <v>1268</v>
      </c>
      <c r="B247" s="10" t="s">
        <v>449</v>
      </c>
      <c r="C247" s="11" t="s">
        <v>1269</v>
      </c>
      <c r="D247" s="11" t="s">
        <v>782</v>
      </c>
      <c r="E247" s="10" t="s">
        <v>48</v>
      </c>
    </row>
    <row r="248" customFormat="false" ht="15" hidden="false" customHeight="true" outlineLevel="0" collapsed="false">
      <c r="A248" s="10" t="s">
        <v>1270</v>
      </c>
      <c r="B248" s="10" t="s">
        <v>449</v>
      </c>
      <c r="C248" s="11" t="s">
        <v>1271</v>
      </c>
      <c r="D248" s="11" t="s">
        <v>782</v>
      </c>
      <c r="E248" s="10" t="s">
        <v>48</v>
      </c>
    </row>
    <row r="249" customFormat="false" ht="15" hidden="false" customHeight="true" outlineLevel="0" collapsed="false">
      <c r="A249" s="10" t="s">
        <v>1272</v>
      </c>
      <c r="B249" s="10" t="s">
        <v>483</v>
      </c>
      <c r="C249" s="11" t="s">
        <v>1273</v>
      </c>
      <c r="D249" s="11" t="s">
        <v>782</v>
      </c>
      <c r="E249" s="10" t="s">
        <v>48</v>
      </c>
    </row>
    <row r="250" customFormat="false" ht="15" hidden="false" customHeight="true" outlineLevel="0" collapsed="false">
      <c r="A250" s="10" t="s">
        <v>1274</v>
      </c>
      <c r="B250" s="10" t="s">
        <v>483</v>
      </c>
      <c r="C250" s="11" t="s">
        <v>1275</v>
      </c>
      <c r="D250" s="11" t="s">
        <v>782</v>
      </c>
      <c r="E250" s="10" t="s">
        <v>70</v>
      </c>
    </row>
    <row r="251" customFormat="false" ht="15" hidden="false" customHeight="true" outlineLevel="0" collapsed="false">
      <c r="A251" s="10" t="s">
        <v>1276</v>
      </c>
      <c r="B251" s="10" t="s">
        <v>483</v>
      </c>
      <c r="C251" s="11" t="s">
        <v>1277</v>
      </c>
      <c r="D251" s="11" t="s">
        <v>782</v>
      </c>
      <c r="E251" s="10" t="s">
        <v>70</v>
      </c>
    </row>
    <row r="252" customFormat="false" ht="15" hidden="false" customHeight="true" outlineLevel="0" collapsed="false">
      <c r="A252" s="10" t="s">
        <v>1278</v>
      </c>
      <c r="B252" s="10" t="s">
        <v>483</v>
      </c>
      <c r="C252" s="11" t="s">
        <v>1279</v>
      </c>
      <c r="D252" s="11" t="s">
        <v>782</v>
      </c>
      <c r="E252" s="10" t="s">
        <v>70</v>
      </c>
    </row>
    <row r="253" customFormat="false" ht="15" hidden="false" customHeight="true" outlineLevel="0" collapsed="false">
      <c r="A253" s="10" t="s">
        <v>1280</v>
      </c>
      <c r="B253" s="10" t="s">
        <v>483</v>
      </c>
      <c r="C253" s="11" t="s">
        <v>1279</v>
      </c>
      <c r="D253" s="11" t="s">
        <v>782</v>
      </c>
      <c r="E253" s="10" t="s">
        <v>70</v>
      </c>
    </row>
    <row r="254" customFormat="false" ht="15" hidden="false" customHeight="true" outlineLevel="0" collapsed="false">
      <c r="A254" s="10" t="s">
        <v>1281</v>
      </c>
      <c r="B254" s="10" t="s">
        <v>483</v>
      </c>
      <c r="C254" s="11" t="s">
        <v>1279</v>
      </c>
      <c r="D254" s="11" t="s">
        <v>782</v>
      </c>
      <c r="E254" s="10" t="s">
        <v>70</v>
      </c>
    </row>
    <row r="255" customFormat="false" ht="23.25" hidden="false" customHeight="true" outlineLevel="0" collapsed="false">
      <c r="A255" s="10" t="s">
        <v>1282</v>
      </c>
      <c r="B255" s="10" t="s">
        <v>483</v>
      </c>
      <c r="C255" s="11" t="s">
        <v>1283</v>
      </c>
      <c r="D255" s="11" t="s">
        <v>782</v>
      </c>
      <c r="E255" s="10" t="s">
        <v>183</v>
      </c>
    </row>
    <row r="256" customFormat="false" ht="23.25" hidden="false" customHeight="true" outlineLevel="0" collapsed="false">
      <c r="A256" s="10" t="s">
        <v>1284</v>
      </c>
      <c r="B256" s="10" t="s">
        <v>483</v>
      </c>
      <c r="C256" s="11" t="s">
        <v>1285</v>
      </c>
      <c r="D256" s="11" t="s">
        <v>782</v>
      </c>
      <c r="E256" s="10" t="s">
        <v>183</v>
      </c>
    </row>
    <row r="257" customFormat="false" ht="15" hidden="false" customHeight="true" outlineLevel="0" collapsed="false">
      <c r="A257" s="10" t="s">
        <v>1286</v>
      </c>
      <c r="B257" s="10" t="s">
        <v>483</v>
      </c>
      <c r="C257" s="11" t="s">
        <v>1287</v>
      </c>
      <c r="D257" s="11" t="s">
        <v>782</v>
      </c>
      <c r="E257" s="10" t="s">
        <v>70</v>
      </c>
    </row>
    <row r="258" customFormat="false" ht="23.25" hidden="false" customHeight="true" outlineLevel="0" collapsed="false">
      <c r="A258" s="10" t="s">
        <v>1288</v>
      </c>
      <c r="B258" s="10" t="s">
        <v>511</v>
      </c>
      <c r="C258" s="11" t="s">
        <v>1289</v>
      </c>
      <c r="D258" s="11" t="s">
        <v>791</v>
      </c>
      <c r="E258" s="10" t="s">
        <v>183</v>
      </c>
    </row>
    <row r="259" customFormat="false" ht="15" hidden="false" customHeight="true" outlineLevel="0" collapsed="false">
      <c r="A259" s="10" t="s">
        <v>1290</v>
      </c>
      <c r="B259" s="10" t="s">
        <v>511</v>
      </c>
      <c r="C259" s="11" t="s">
        <v>1291</v>
      </c>
      <c r="D259" s="11" t="s">
        <v>782</v>
      </c>
      <c r="E259" s="10" t="s">
        <v>183</v>
      </c>
    </row>
    <row r="260" customFormat="false" ht="15" hidden="false" customHeight="true" outlineLevel="0" collapsed="false">
      <c r="A260" s="10" t="s">
        <v>1292</v>
      </c>
      <c r="B260" s="10" t="s">
        <v>511</v>
      </c>
      <c r="C260" s="11" t="s">
        <v>1293</v>
      </c>
      <c r="D260" s="11" t="s">
        <v>782</v>
      </c>
      <c r="E260" s="10" t="s">
        <v>48</v>
      </c>
    </row>
    <row r="261" customFormat="false" ht="15" hidden="false" customHeight="true" outlineLevel="0" collapsed="false">
      <c r="A261" s="10" t="s">
        <v>1294</v>
      </c>
      <c r="B261" s="10" t="s">
        <v>511</v>
      </c>
      <c r="C261" s="11" t="s">
        <v>1295</v>
      </c>
      <c r="D261" s="11" t="s">
        <v>782</v>
      </c>
      <c r="E261" s="10" t="s">
        <v>48</v>
      </c>
    </row>
    <row r="262" customFormat="false" ht="15" hidden="false" customHeight="true" outlineLevel="0" collapsed="false">
      <c r="A262" s="10" t="s">
        <v>1296</v>
      </c>
      <c r="B262" s="10" t="s">
        <v>511</v>
      </c>
      <c r="C262" s="11" t="s">
        <v>1297</v>
      </c>
      <c r="D262" s="11" t="s">
        <v>782</v>
      </c>
      <c r="E262" s="10" t="s">
        <v>48</v>
      </c>
    </row>
    <row r="263" customFormat="false" ht="15" hidden="false" customHeight="true" outlineLevel="0" collapsed="false">
      <c r="A263" s="10" t="s">
        <v>1298</v>
      </c>
      <c r="B263" s="10" t="s">
        <v>511</v>
      </c>
      <c r="C263" s="11" t="s">
        <v>1299</v>
      </c>
      <c r="D263" s="11" t="s">
        <v>782</v>
      </c>
      <c r="E263" s="10" t="s">
        <v>48</v>
      </c>
    </row>
    <row r="264" customFormat="false" ht="15" hidden="false" customHeight="true" outlineLevel="0" collapsed="false">
      <c r="A264" s="10" t="s">
        <v>1300</v>
      </c>
      <c r="B264" s="10" t="s">
        <v>511</v>
      </c>
      <c r="C264" s="11" t="s">
        <v>1301</v>
      </c>
      <c r="D264" s="11" t="s">
        <v>782</v>
      </c>
      <c r="E264" s="10" t="s">
        <v>48</v>
      </c>
    </row>
    <row r="265" customFormat="false" ht="15" hidden="false" customHeight="true" outlineLevel="0" collapsed="false">
      <c r="A265" s="10" t="s">
        <v>1302</v>
      </c>
      <c r="B265" s="10" t="s">
        <v>511</v>
      </c>
      <c r="C265" s="11" t="s">
        <v>1303</v>
      </c>
      <c r="D265" s="11" t="s">
        <v>782</v>
      </c>
      <c r="E265" s="10" t="s">
        <v>70</v>
      </c>
    </row>
    <row r="266" customFormat="false" ht="15" hidden="false" customHeight="true" outlineLevel="0" collapsed="false">
      <c r="A266" s="10" t="s">
        <v>1304</v>
      </c>
      <c r="B266" s="10" t="s">
        <v>529</v>
      </c>
      <c r="C266" s="11" t="s">
        <v>1305</v>
      </c>
      <c r="D266" s="11" t="s">
        <v>782</v>
      </c>
      <c r="E266" s="10" t="s">
        <v>48</v>
      </c>
    </row>
    <row r="267" customFormat="false" ht="15" hidden="false" customHeight="true" outlineLevel="0" collapsed="false">
      <c r="A267" s="10" t="s">
        <v>1306</v>
      </c>
      <c r="B267" s="10" t="s">
        <v>529</v>
      </c>
      <c r="C267" s="11" t="s">
        <v>1307</v>
      </c>
      <c r="D267" s="11" t="s">
        <v>782</v>
      </c>
      <c r="E267" s="10" t="s">
        <v>48</v>
      </c>
    </row>
    <row r="268" customFormat="false" ht="15" hidden="false" customHeight="true" outlineLevel="0" collapsed="false">
      <c r="A268" s="10" t="s">
        <v>1308</v>
      </c>
      <c r="B268" s="10" t="s">
        <v>529</v>
      </c>
      <c r="C268" s="11" t="s">
        <v>1309</v>
      </c>
      <c r="D268" s="11" t="s">
        <v>782</v>
      </c>
      <c r="E268" s="10" t="s">
        <v>48</v>
      </c>
    </row>
    <row r="269" customFormat="false" ht="15" hidden="false" customHeight="true" outlineLevel="0" collapsed="false">
      <c r="A269" s="10" t="s">
        <v>1310</v>
      </c>
      <c r="B269" s="10" t="s">
        <v>529</v>
      </c>
      <c r="C269" s="11" t="s">
        <v>1311</v>
      </c>
      <c r="D269" s="11" t="s">
        <v>782</v>
      </c>
      <c r="E269" s="10" t="s">
        <v>48</v>
      </c>
    </row>
    <row r="270" customFormat="false" ht="23.25" hidden="false" customHeight="true" outlineLevel="0" collapsed="false">
      <c r="A270" s="10" t="s">
        <v>1312</v>
      </c>
      <c r="B270" s="10" t="s">
        <v>529</v>
      </c>
      <c r="C270" s="11" t="s">
        <v>1313</v>
      </c>
      <c r="D270" s="11" t="s">
        <v>791</v>
      </c>
      <c r="E270" s="10" t="s">
        <v>183</v>
      </c>
    </row>
    <row r="271" customFormat="false" ht="15" hidden="false" customHeight="true" outlineLevel="0" collapsed="false">
      <c r="A271" s="10" t="s">
        <v>1314</v>
      </c>
      <c r="B271" s="10" t="s">
        <v>529</v>
      </c>
      <c r="C271" s="11" t="s">
        <v>1315</v>
      </c>
      <c r="D271" s="11" t="s">
        <v>782</v>
      </c>
      <c r="E271" s="10" t="s">
        <v>48</v>
      </c>
    </row>
    <row r="272" customFormat="false" ht="15" hidden="false" customHeight="true" outlineLevel="0" collapsed="false">
      <c r="A272" s="10" t="s">
        <v>1316</v>
      </c>
      <c r="B272" s="10" t="s">
        <v>529</v>
      </c>
      <c r="C272" s="11" t="s">
        <v>1317</v>
      </c>
      <c r="D272" s="11" t="s">
        <v>782</v>
      </c>
      <c r="E272" s="10" t="s">
        <v>48</v>
      </c>
    </row>
    <row r="273" customFormat="false" ht="15" hidden="false" customHeight="true" outlineLevel="0" collapsed="false">
      <c r="A273" s="10" t="s">
        <v>1318</v>
      </c>
      <c r="B273" s="10" t="s">
        <v>529</v>
      </c>
      <c r="C273" s="11" t="s">
        <v>1319</v>
      </c>
      <c r="D273" s="11" t="s">
        <v>782</v>
      </c>
      <c r="E273" s="10" t="s">
        <v>183</v>
      </c>
    </row>
    <row r="274" customFormat="false" ht="15" hidden="false" customHeight="true" outlineLevel="0" collapsed="false">
      <c r="A274" s="10" t="s">
        <v>1320</v>
      </c>
      <c r="B274" s="10" t="s">
        <v>529</v>
      </c>
      <c r="C274" s="11" t="s">
        <v>1321</v>
      </c>
      <c r="D274" s="11" t="s">
        <v>782</v>
      </c>
      <c r="E274" s="10" t="s">
        <v>116</v>
      </c>
    </row>
    <row r="275" customFormat="false" ht="15" hidden="false" customHeight="true" outlineLevel="0" collapsed="false">
      <c r="A275" s="10" t="s">
        <v>1322</v>
      </c>
      <c r="B275" s="10" t="s">
        <v>1323</v>
      </c>
      <c r="C275" s="11" t="s">
        <v>1324</v>
      </c>
      <c r="D275" s="11" t="s">
        <v>782</v>
      </c>
      <c r="E275" s="10" t="s">
        <v>183</v>
      </c>
    </row>
    <row r="276" customFormat="false" ht="15" hidden="false" customHeight="true" outlineLevel="0" collapsed="false">
      <c r="A276" s="10" t="s">
        <v>1325</v>
      </c>
      <c r="B276" s="10" t="s">
        <v>1323</v>
      </c>
      <c r="C276" s="11" t="s">
        <v>1326</v>
      </c>
      <c r="D276" s="11" t="s">
        <v>782</v>
      </c>
      <c r="E276" s="10" t="s">
        <v>48</v>
      </c>
    </row>
    <row r="277" customFormat="false" ht="15" hidden="false" customHeight="true" outlineLevel="0" collapsed="false">
      <c r="A277" s="10" t="s">
        <v>1327</v>
      </c>
      <c r="B277" s="10" t="s">
        <v>1323</v>
      </c>
      <c r="C277" s="11" t="s">
        <v>1328</v>
      </c>
      <c r="D277" s="11" t="s">
        <v>782</v>
      </c>
      <c r="E277" s="10" t="s">
        <v>183</v>
      </c>
    </row>
    <row r="278" customFormat="false" ht="23.25" hidden="false" customHeight="true" outlineLevel="0" collapsed="false">
      <c r="A278" s="10" t="s">
        <v>1329</v>
      </c>
      <c r="B278" s="10" t="s">
        <v>1330</v>
      </c>
      <c r="C278" s="11" t="s">
        <v>1331</v>
      </c>
      <c r="D278" s="11" t="s">
        <v>791</v>
      </c>
      <c r="E278" s="10" t="s">
        <v>183</v>
      </c>
    </row>
    <row r="279" customFormat="false" ht="15" hidden="false" customHeight="true" outlineLevel="0" collapsed="false">
      <c r="A279" s="10" t="s">
        <v>1332</v>
      </c>
      <c r="B279" s="10" t="s">
        <v>1330</v>
      </c>
      <c r="C279" s="11" t="s">
        <v>1333</v>
      </c>
      <c r="D279" s="11" t="s">
        <v>782</v>
      </c>
      <c r="E279" s="10" t="s">
        <v>116</v>
      </c>
    </row>
    <row r="280" customFormat="false" ht="15" hidden="false" customHeight="true" outlineLevel="0" collapsed="false">
      <c r="A280" s="10" t="s">
        <v>1334</v>
      </c>
      <c r="B280" s="10" t="s">
        <v>1330</v>
      </c>
      <c r="C280" s="11" t="s">
        <v>1335</v>
      </c>
      <c r="D280" s="11" t="s">
        <v>782</v>
      </c>
      <c r="E280" s="10" t="s">
        <v>48</v>
      </c>
    </row>
    <row r="281" customFormat="false" ht="15" hidden="false" customHeight="true" outlineLevel="0" collapsed="false">
      <c r="A281" s="10" t="s">
        <v>1336</v>
      </c>
      <c r="B281" s="10" t="s">
        <v>1330</v>
      </c>
      <c r="C281" s="11" t="s">
        <v>1337</v>
      </c>
      <c r="D281" s="11" t="s">
        <v>782</v>
      </c>
      <c r="E281" s="10" t="s">
        <v>116</v>
      </c>
    </row>
    <row r="282" customFormat="false" ht="15" hidden="false" customHeight="true" outlineLevel="0" collapsed="false">
      <c r="A282" s="10" t="s">
        <v>1338</v>
      </c>
      <c r="B282" s="10" t="s">
        <v>1330</v>
      </c>
      <c r="C282" s="11" t="s">
        <v>1339</v>
      </c>
      <c r="D282" s="11" t="s">
        <v>782</v>
      </c>
      <c r="E282" s="10" t="s">
        <v>116</v>
      </c>
    </row>
    <row r="283" customFormat="false" ht="15" hidden="false" customHeight="true" outlineLevel="0" collapsed="false">
      <c r="A283" s="10" t="s">
        <v>1340</v>
      </c>
      <c r="B283" s="10" t="s">
        <v>1330</v>
      </c>
      <c r="C283" s="11" t="s">
        <v>1341</v>
      </c>
      <c r="D283" s="11" t="s">
        <v>782</v>
      </c>
      <c r="E283" s="10" t="s">
        <v>48</v>
      </c>
    </row>
    <row r="284" customFormat="false" ht="15" hidden="false" customHeight="true" outlineLevel="0" collapsed="false">
      <c r="A284" s="10" t="s">
        <v>1342</v>
      </c>
      <c r="B284" s="10" t="s">
        <v>1330</v>
      </c>
      <c r="C284" s="11" t="s">
        <v>1339</v>
      </c>
      <c r="D284" s="11" t="s">
        <v>782</v>
      </c>
      <c r="E284" s="10" t="s">
        <v>116</v>
      </c>
    </row>
    <row r="285" customFormat="false" ht="15" hidden="false" customHeight="true" outlineLevel="0" collapsed="false">
      <c r="A285" s="10" t="s">
        <v>1343</v>
      </c>
      <c r="B285" s="10" t="s">
        <v>1330</v>
      </c>
      <c r="C285" s="11" t="s">
        <v>1344</v>
      </c>
      <c r="D285" s="11" t="s">
        <v>782</v>
      </c>
      <c r="E285" s="10" t="s">
        <v>48</v>
      </c>
    </row>
    <row r="286" customFormat="false" ht="15" hidden="false" customHeight="true" outlineLevel="0" collapsed="false">
      <c r="A286" s="10" t="s">
        <v>1345</v>
      </c>
      <c r="B286" s="10" t="s">
        <v>1346</v>
      </c>
      <c r="C286" s="11" t="s">
        <v>1347</v>
      </c>
      <c r="D286" s="11" t="s">
        <v>782</v>
      </c>
      <c r="E286" s="10" t="s">
        <v>48</v>
      </c>
    </row>
    <row r="287" customFormat="false" ht="15" hidden="false" customHeight="true" outlineLevel="0" collapsed="false">
      <c r="A287" s="10" t="s">
        <v>1348</v>
      </c>
      <c r="B287" s="10" t="s">
        <v>1349</v>
      </c>
      <c r="C287" s="11" t="s">
        <v>1350</v>
      </c>
      <c r="D287" s="11" t="s">
        <v>782</v>
      </c>
      <c r="E287" s="10" t="s">
        <v>48</v>
      </c>
    </row>
    <row r="288" customFormat="false" ht="15" hidden="false" customHeight="true" outlineLevel="0" collapsed="false">
      <c r="A288" s="10" t="s">
        <v>1351</v>
      </c>
      <c r="B288" s="10" t="s">
        <v>1352</v>
      </c>
      <c r="C288" s="11" t="s">
        <v>1350</v>
      </c>
      <c r="D288" s="11" t="s">
        <v>782</v>
      </c>
      <c r="E288" s="10" t="s">
        <v>48</v>
      </c>
    </row>
    <row r="289" customFormat="false" ht="23.25" hidden="false" customHeight="true" outlineLevel="0" collapsed="false">
      <c r="A289" s="10" t="s">
        <v>1353</v>
      </c>
      <c r="B289" s="10" t="s">
        <v>1354</v>
      </c>
      <c r="C289" s="11" t="s">
        <v>1355</v>
      </c>
      <c r="D289" s="11" t="s">
        <v>782</v>
      </c>
      <c r="E289" s="10" t="s">
        <v>48</v>
      </c>
    </row>
    <row r="290" customFormat="false" ht="15" hidden="false" customHeight="true" outlineLevel="0" collapsed="false">
      <c r="A290" s="10" t="s">
        <v>1356</v>
      </c>
      <c r="B290" s="10" t="s">
        <v>1354</v>
      </c>
      <c r="C290" s="11" t="s">
        <v>1357</v>
      </c>
      <c r="D290" s="11" t="s">
        <v>782</v>
      </c>
      <c r="E290" s="10" t="s">
        <v>48</v>
      </c>
    </row>
    <row r="291" customFormat="false" ht="15" hidden="false" customHeight="true" outlineLevel="0" collapsed="false">
      <c r="A291" s="10" t="s">
        <v>1358</v>
      </c>
      <c r="B291" s="10" t="s">
        <v>1354</v>
      </c>
      <c r="C291" s="11" t="s">
        <v>1359</v>
      </c>
      <c r="D291" s="11" t="s">
        <v>782</v>
      </c>
      <c r="E291" s="10" t="s">
        <v>48</v>
      </c>
    </row>
    <row r="292" customFormat="false" ht="23.25" hidden="false" customHeight="true" outlineLevel="0" collapsed="false">
      <c r="A292" s="10" t="s">
        <v>1360</v>
      </c>
      <c r="B292" s="10" t="s">
        <v>1354</v>
      </c>
      <c r="C292" s="11" t="s">
        <v>1361</v>
      </c>
      <c r="D292" s="11" t="s">
        <v>782</v>
      </c>
      <c r="E292" s="10" t="s">
        <v>48</v>
      </c>
    </row>
    <row r="293" customFormat="false" ht="15" hidden="false" customHeight="true" outlineLevel="0" collapsed="false">
      <c r="A293" s="10" t="s">
        <v>1362</v>
      </c>
      <c r="B293" s="10" t="s">
        <v>1354</v>
      </c>
      <c r="C293" s="11" t="s">
        <v>1363</v>
      </c>
      <c r="D293" s="11" t="s">
        <v>782</v>
      </c>
      <c r="E293" s="10" t="s">
        <v>48</v>
      </c>
    </row>
    <row r="294" customFormat="false" ht="15" hidden="false" customHeight="true" outlineLevel="0" collapsed="false">
      <c r="A294" s="10" t="s">
        <v>1364</v>
      </c>
      <c r="B294" s="10" t="s">
        <v>555</v>
      </c>
      <c r="C294" s="11" t="s">
        <v>1365</v>
      </c>
      <c r="D294" s="11" t="s">
        <v>782</v>
      </c>
      <c r="E294" s="10" t="s">
        <v>48</v>
      </c>
    </row>
    <row r="295" customFormat="false" ht="15" hidden="false" customHeight="true" outlineLevel="0" collapsed="false">
      <c r="A295" s="10" t="s">
        <v>1366</v>
      </c>
      <c r="B295" s="10" t="s">
        <v>555</v>
      </c>
      <c r="C295" s="11" t="s">
        <v>1367</v>
      </c>
      <c r="D295" s="11" t="s">
        <v>782</v>
      </c>
      <c r="E295" s="10" t="s">
        <v>48</v>
      </c>
    </row>
    <row r="296" customFormat="false" ht="15" hidden="false" customHeight="true" outlineLevel="0" collapsed="false">
      <c r="A296" s="10" t="s">
        <v>1368</v>
      </c>
      <c r="B296" s="10" t="s">
        <v>555</v>
      </c>
      <c r="C296" s="11" t="s">
        <v>1369</v>
      </c>
      <c r="D296" s="11" t="s">
        <v>782</v>
      </c>
      <c r="E296" s="10" t="s">
        <v>48</v>
      </c>
    </row>
  </sheetData>
  <autoFilter ref="A1:E2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2026-08-12T22:54:10Z</dcterms:created>
  <dc:creator>openpyxl</dc:creator>
  <dc:description/>
  <dc:language>en-US</dc:language>
  <cp:lastModifiedBy/>
  <dcterms:modified xsi:type="dcterms:W3CDTF">2026-08-12T23:01:45Z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